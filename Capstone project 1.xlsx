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owtham P\Desktop\"/>
    </mc:Choice>
  </mc:AlternateContent>
  <xr:revisionPtr revIDLastSave="0" documentId="13_ncr:1_{EF265F2B-6C95-46A4-AB5F-C3B379061B42}" xr6:coauthVersionLast="47" xr6:coauthVersionMax="47" xr10:uidLastSave="{00000000-0000-0000-0000-000000000000}"/>
  <bookViews>
    <workbookView xWindow="-120" yWindow="-120" windowWidth="22290" windowHeight="13365" activeTab="1" xr2:uid="{00000000-000D-0000-FFFF-FFFF00000000}"/>
  </bookViews>
  <sheets>
    <sheet name="Customer_Dim" sheetId="1" r:id="rId1"/>
    <sheet name="Cleaned data" sheetId="5" r:id="rId2"/>
  </sheets>
  <definedNames>
    <definedName name="_xlnm._FilterDatabase" localSheetId="0" hidden="1">Customer_Dim!$A$1:$K$501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Customer_Dim!$Y$2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I2" i="1" l="1"/>
  <c r="J2" i="1"/>
  <c r="K2" i="1" s="1"/>
  <c r="I3" i="1"/>
  <c r="J3" i="1"/>
  <c r="K3" i="1" s="1"/>
  <c r="I4" i="1"/>
  <c r="J4" i="1"/>
  <c r="K4" i="1" s="1"/>
  <c r="I5" i="1"/>
  <c r="J5" i="1"/>
  <c r="K5" i="1" s="1"/>
  <c r="I6" i="1"/>
  <c r="J6" i="1"/>
  <c r="K6" i="1"/>
  <c r="I7" i="1"/>
  <c r="J7" i="1"/>
  <c r="K7" i="1" s="1"/>
  <c r="I8" i="1"/>
  <c r="J8" i="1"/>
  <c r="K8" i="1"/>
  <c r="I9" i="1"/>
  <c r="J9" i="1"/>
  <c r="K9" i="1"/>
  <c r="I10" i="1"/>
  <c r="J10" i="1"/>
  <c r="K10" i="1" s="1"/>
  <c r="I11" i="1"/>
  <c r="J11" i="1"/>
  <c r="K11" i="1" s="1"/>
  <c r="I12" i="1"/>
  <c r="J12" i="1"/>
  <c r="K12" i="1"/>
  <c r="I13" i="1"/>
  <c r="J13" i="1"/>
  <c r="K13" i="1" s="1"/>
  <c r="I14" i="1"/>
  <c r="J14" i="1"/>
  <c r="K14" i="1" s="1"/>
  <c r="I15" i="1"/>
  <c r="J15" i="1"/>
  <c r="K15" i="1" s="1"/>
  <c r="I16" i="1"/>
  <c r="J16" i="1"/>
  <c r="K16" i="1"/>
  <c r="I17" i="1"/>
  <c r="J17" i="1"/>
  <c r="K17" i="1"/>
  <c r="I18" i="1"/>
  <c r="J18" i="1"/>
  <c r="K18" i="1" s="1"/>
  <c r="I19" i="1"/>
  <c r="J19" i="1"/>
  <c r="K19" i="1" s="1"/>
  <c r="I20" i="1"/>
  <c r="J20" i="1"/>
  <c r="K20" i="1" s="1"/>
  <c r="I21" i="1"/>
  <c r="J21" i="1"/>
  <c r="K21" i="1" s="1"/>
  <c r="I22" i="1"/>
  <c r="J22" i="1"/>
  <c r="K22" i="1" s="1"/>
  <c r="I23" i="1"/>
  <c r="J23" i="1"/>
  <c r="K23" i="1" s="1"/>
  <c r="I24" i="1"/>
  <c r="J24" i="1"/>
  <c r="K24" i="1" s="1"/>
  <c r="I25" i="1"/>
  <c r="J25" i="1"/>
  <c r="K25" i="1"/>
  <c r="I26" i="1"/>
  <c r="J26" i="1"/>
  <c r="K26" i="1" s="1"/>
  <c r="I27" i="1"/>
  <c r="J27" i="1"/>
  <c r="K27" i="1" s="1"/>
  <c r="I28" i="1"/>
  <c r="J28" i="1"/>
  <c r="K28" i="1"/>
  <c r="I29" i="1"/>
  <c r="J29" i="1"/>
  <c r="K29" i="1"/>
  <c r="I30" i="1"/>
  <c r="J30" i="1"/>
  <c r="K30" i="1" s="1"/>
  <c r="I31" i="1"/>
  <c r="J31" i="1"/>
  <c r="K31" i="1" s="1"/>
  <c r="I32" i="1"/>
  <c r="J32" i="1"/>
  <c r="K32" i="1" s="1"/>
  <c r="I33" i="1"/>
  <c r="J33" i="1"/>
  <c r="K33" i="1" s="1"/>
  <c r="I34" i="1"/>
  <c r="J34" i="1"/>
  <c r="K34" i="1" s="1"/>
  <c r="I35" i="1"/>
  <c r="J35" i="1"/>
  <c r="K35" i="1" s="1"/>
  <c r="I36" i="1"/>
  <c r="J36" i="1"/>
  <c r="K36" i="1" s="1"/>
  <c r="I37" i="1"/>
  <c r="J37" i="1"/>
  <c r="K37" i="1" s="1"/>
  <c r="I38" i="1"/>
  <c r="J38" i="1"/>
  <c r="K38" i="1" s="1"/>
  <c r="I39" i="1"/>
  <c r="J39" i="1"/>
  <c r="K39" i="1" s="1"/>
  <c r="I40" i="1"/>
  <c r="J40" i="1"/>
  <c r="K40" i="1" s="1"/>
  <c r="I41" i="1"/>
  <c r="J41" i="1"/>
  <c r="K41" i="1" s="1"/>
  <c r="I42" i="1"/>
  <c r="J42" i="1"/>
  <c r="K42" i="1" s="1"/>
  <c r="I43" i="1"/>
  <c r="J43" i="1"/>
  <c r="K43" i="1" s="1"/>
  <c r="I44" i="1"/>
  <c r="J44" i="1"/>
  <c r="K44" i="1"/>
  <c r="I45" i="1"/>
  <c r="J45" i="1"/>
  <c r="K45" i="1" s="1"/>
  <c r="I46" i="1"/>
  <c r="J46" i="1"/>
  <c r="K46" i="1" s="1"/>
  <c r="I47" i="1"/>
  <c r="J47" i="1"/>
  <c r="K47" i="1" s="1"/>
  <c r="I48" i="1"/>
  <c r="J48" i="1"/>
  <c r="K48" i="1" s="1"/>
  <c r="I49" i="1"/>
  <c r="J49" i="1"/>
  <c r="K49" i="1"/>
  <c r="I50" i="1"/>
  <c r="J50" i="1"/>
  <c r="K50" i="1" s="1"/>
  <c r="I51" i="1"/>
  <c r="J51" i="1"/>
  <c r="K51" i="1" s="1"/>
  <c r="I52" i="1"/>
  <c r="J52" i="1"/>
  <c r="K52" i="1"/>
  <c r="I53" i="1"/>
  <c r="J53" i="1"/>
  <c r="K53" i="1" s="1"/>
  <c r="I54" i="1"/>
  <c r="J54" i="1"/>
  <c r="K54" i="1" s="1"/>
  <c r="I55" i="1"/>
  <c r="J55" i="1"/>
  <c r="K55" i="1" s="1"/>
  <c r="I56" i="1"/>
  <c r="J56" i="1"/>
  <c r="K56" i="1"/>
  <c r="I57" i="1"/>
  <c r="J57" i="1"/>
  <c r="K57" i="1"/>
  <c r="I58" i="1"/>
  <c r="J58" i="1"/>
  <c r="K58" i="1" s="1"/>
  <c r="I59" i="1"/>
  <c r="J59" i="1"/>
  <c r="K59" i="1" s="1"/>
  <c r="I60" i="1"/>
  <c r="J60" i="1"/>
  <c r="K60" i="1" s="1"/>
  <c r="I61" i="1"/>
  <c r="J61" i="1"/>
  <c r="K61" i="1" s="1"/>
  <c r="I62" i="1"/>
  <c r="J62" i="1"/>
  <c r="K62" i="1" s="1"/>
  <c r="I63" i="1"/>
  <c r="J63" i="1"/>
  <c r="K63" i="1" s="1"/>
  <c r="I64" i="1"/>
  <c r="J64" i="1"/>
  <c r="K64" i="1" s="1"/>
  <c r="I65" i="1"/>
  <c r="J65" i="1"/>
  <c r="K65" i="1" s="1"/>
  <c r="I66" i="1"/>
  <c r="J66" i="1"/>
  <c r="K66" i="1" s="1"/>
  <c r="I67" i="1"/>
  <c r="J67" i="1"/>
  <c r="K67" i="1" s="1"/>
  <c r="I68" i="1"/>
  <c r="J68" i="1"/>
  <c r="K68" i="1"/>
  <c r="I69" i="1"/>
  <c r="J69" i="1"/>
  <c r="K69" i="1" s="1"/>
  <c r="I70" i="1"/>
  <c r="J70" i="1"/>
  <c r="K70" i="1" s="1"/>
  <c r="I71" i="1"/>
  <c r="J71" i="1"/>
  <c r="K71" i="1" s="1"/>
  <c r="I72" i="1"/>
  <c r="J72" i="1"/>
  <c r="K72" i="1" s="1"/>
  <c r="I73" i="1"/>
  <c r="J73" i="1"/>
  <c r="K73" i="1"/>
  <c r="I74" i="1"/>
  <c r="J74" i="1"/>
  <c r="K74" i="1" s="1"/>
  <c r="I75" i="1"/>
  <c r="J75" i="1"/>
  <c r="K75" i="1" s="1"/>
  <c r="I76" i="1"/>
  <c r="J76" i="1"/>
  <c r="K76" i="1"/>
  <c r="I77" i="1"/>
  <c r="J77" i="1"/>
  <c r="K77" i="1" s="1"/>
  <c r="I78" i="1"/>
  <c r="J78" i="1"/>
  <c r="K78" i="1" s="1"/>
  <c r="I79" i="1"/>
  <c r="J79" i="1"/>
  <c r="K79" i="1" s="1"/>
  <c r="I80" i="1"/>
  <c r="J80" i="1"/>
  <c r="K80" i="1"/>
  <c r="I81" i="1"/>
  <c r="J81" i="1"/>
  <c r="K81" i="1" s="1"/>
  <c r="I82" i="1"/>
  <c r="J82" i="1"/>
  <c r="K82" i="1" s="1"/>
  <c r="I83" i="1"/>
  <c r="J83" i="1"/>
  <c r="K83" i="1" s="1"/>
  <c r="I84" i="1"/>
  <c r="J84" i="1"/>
  <c r="K84" i="1" s="1"/>
  <c r="I85" i="1"/>
  <c r="J85" i="1"/>
  <c r="K85" i="1" s="1"/>
  <c r="I86" i="1"/>
  <c r="J86" i="1"/>
  <c r="K86" i="1" s="1"/>
  <c r="I87" i="1"/>
  <c r="J87" i="1"/>
  <c r="K87" i="1" s="1"/>
  <c r="I88" i="1"/>
  <c r="J88" i="1"/>
  <c r="K88" i="1" s="1"/>
  <c r="I89" i="1"/>
  <c r="J89" i="1"/>
  <c r="K89" i="1" s="1"/>
  <c r="I90" i="1"/>
  <c r="J90" i="1"/>
  <c r="K90" i="1" s="1"/>
  <c r="I91" i="1"/>
  <c r="J91" i="1"/>
  <c r="K91" i="1" s="1"/>
  <c r="I92" i="1"/>
  <c r="J92" i="1"/>
  <c r="K92" i="1" s="1"/>
  <c r="I93" i="1"/>
  <c r="J93" i="1"/>
  <c r="K93" i="1" s="1"/>
  <c r="I94" i="1"/>
  <c r="J94" i="1"/>
  <c r="K94" i="1" s="1"/>
  <c r="I95" i="1"/>
  <c r="J95" i="1"/>
  <c r="K95" i="1" s="1"/>
  <c r="I96" i="1"/>
  <c r="J96" i="1"/>
  <c r="K96" i="1"/>
  <c r="I97" i="1"/>
  <c r="J97" i="1"/>
  <c r="K97" i="1" s="1"/>
  <c r="I98" i="1"/>
  <c r="J98" i="1"/>
  <c r="K98" i="1" s="1"/>
  <c r="I99" i="1"/>
  <c r="J99" i="1"/>
  <c r="K99" i="1" s="1"/>
  <c r="I100" i="1"/>
  <c r="J100" i="1"/>
  <c r="K100" i="1" s="1"/>
  <c r="I101" i="1"/>
  <c r="J101" i="1"/>
  <c r="K101" i="1" s="1"/>
  <c r="I102" i="1"/>
  <c r="J102" i="1"/>
  <c r="K102" i="1" s="1"/>
  <c r="I103" i="1"/>
  <c r="J103" i="1"/>
  <c r="K103" i="1" s="1"/>
  <c r="I104" i="1"/>
  <c r="J104" i="1"/>
  <c r="K104" i="1" s="1"/>
  <c r="I105" i="1"/>
  <c r="J105" i="1"/>
  <c r="K105" i="1" s="1"/>
  <c r="I106" i="1"/>
  <c r="J106" i="1"/>
  <c r="K106" i="1" s="1"/>
  <c r="I107" i="1"/>
  <c r="J107" i="1"/>
  <c r="K107" i="1" s="1"/>
  <c r="I108" i="1"/>
  <c r="J108" i="1"/>
  <c r="K108" i="1" s="1"/>
  <c r="I109" i="1"/>
  <c r="J109" i="1"/>
  <c r="K109" i="1" s="1"/>
  <c r="I110" i="1"/>
  <c r="J110" i="1"/>
  <c r="K110" i="1" s="1"/>
  <c r="I111" i="1"/>
  <c r="J111" i="1"/>
  <c r="K111" i="1" s="1"/>
  <c r="I112" i="1"/>
  <c r="J112" i="1"/>
  <c r="K112" i="1"/>
  <c r="I113" i="1"/>
  <c r="J113" i="1"/>
  <c r="K113" i="1" s="1"/>
  <c r="I114" i="1"/>
  <c r="J114" i="1"/>
  <c r="K114" i="1" s="1"/>
  <c r="I115" i="1"/>
  <c r="J115" i="1"/>
  <c r="K115" i="1" s="1"/>
  <c r="I116" i="1"/>
  <c r="J116" i="1"/>
  <c r="K116" i="1" s="1"/>
  <c r="I117" i="1"/>
  <c r="J117" i="1"/>
  <c r="K117" i="1" s="1"/>
  <c r="I118" i="1"/>
  <c r="J118" i="1"/>
  <c r="K118" i="1" s="1"/>
  <c r="I119" i="1"/>
  <c r="J119" i="1"/>
  <c r="K119" i="1" s="1"/>
  <c r="I120" i="1"/>
  <c r="J120" i="1"/>
  <c r="K120" i="1" s="1"/>
  <c r="I121" i="1"/>
  <c r="J121" i="1"/>
  <c r="K121" i="1" s="1"/>
  <c r="I122" i="1"/>
  <c r="J122" i="1"/>
  <c r="K122" i="1" s="1"/>
  <c r="I123" i="1"/>
  <c r="J123" i="1"/>
  <c r="K123" i="1" s="1"/>
  <c r="I124" i="1"/>
  <c r="J124" i="1"/>
  <c r="K124" i="1"/>
  <c r="I125" i="1"/>
  <c r="J125" i="1"/>
  <c r="K125" i="1" s="1"/>
  <c r="I126" i="1"/>
  <c r="J126" i="1"/>
  <c r="K126" i="1" s="1"/>
  <c r="I127" i="1"/>
  <c r="J127" i="1"/>
  <c r="K127" i="1" s="1"/>
  <c r="I128" i="1"/>
  <c r="J128" i="1"/>
  <c r="K128" i="1"/>
  <c r="I129" i="1"/>
  <c r="J129" i="1"/>
  <c r="K129" i="1" s="1"/>
  <c r="I130" i="1"/>
  <c r="J130" i="1"/>
  <c r="K130" i="1" s="1"/>
  <c r="I131" i="1"/>
  <c r="J131" i="1"/>
  <c r="K131" i="1" s="1"/>
  <c r="I132" i="1"/>
  <c r="J132" i="1"/>
  <c r="K132" i="1" s="1"/>
  <c r="I133" i="1"/>
  <c r="J133" i="1"/>
  <c r="K133" i="1" s="1"/>
  <c r="I134" i="1"/>
  <c r="J134" i="1"/>
  <c r="K134" i="1" s="1"/>
  <c r="I135" i="1"/>
  <c r="J135" i="1"/>
  <c r="K135" i="1" s="1"/>
  <c r="I136" i="1"/>
  <c r="J136" i="1"/>
  <c r="K136" i="1" s="1"/>
  <c r="I137" i="1"/>
  <c r="J137" i="1"/>
  <c r="K137" i="1" s="1"/>
  <c r="I138" i="1"/>
  <c r="J138" i="1"/>
  <c r="K138" i="1" s="1"/>
  <c r="I139" i="1"/>
  <c r="J139" i="1"/>
  <c r="K139" i="1" s="1"/>
  <c r="I140" i="1"/>
  <c r="J140" i="1"/>
  <c r="K140" i="1" s="1"/>
  <c r="I141" i="1"/>
  <c r="J141" i="1"/>
  <c r="K141" i="1" s="1"/>
  <c r="I142" i="1"/>
  <c r="J142" i="1"/>
  <c r="K142" i="1" s="1"/>
  <c r="I143" i="1"/>
  <c r="J143" i="1"/>
  <c r="K143" i="1" s="1"/>
  <c r="I144" i="1"/>
  <c r="J144" i="1"/>
  <c r="K144" i="1"/>
  <c r="I145" i="1"/>
  <c r="J145" i="1"/>
  <c r="K145" i="1" s="1"/>
  <c r="I146" i="1"/>
  <c r="J146" i="1"/>
  <c r="K146" i="1" s="1"/>
  <c r="I147" i="1"/>
  <c r="J147" i="1"/>
  <c r="K147" i="1" s="1"/>
  <c r="I148" i="1"/>
  <c r="J148" i="1"/>
  <c r="K148" i="1" s="1"/>
  <c r="I149" i="1"/>
  <c r="J149" i="1"/>
  <c r="K149" i="1" s="1"/>
  <c r="I150" i="1"/>
  <c r="J150" i="1"/>
  <c r="K150" i="1" s="1"/>
  <c r="I151" i="1"/>
  <c r="J151" i="1"/>
  <c r="K151" i="1" s="1"/>
  <c r="I152" i="1"/>
  <c r="J152" i="1"/>
  <c r="K152" i="1" s="1"/>
  <c r="I153" i="1"/>
  <c r="J153" i="1"/>
  <c r="K153" i="1" s="1"/>
  <c r="I154" i="1"/>
  <c r="J154" i="1"/>
  <c r="K154" i="1" s="1"/>
  <c r="I155" i="1"/>
  <c r="J155" i="1"/>
  <c r="K155" i="1" s="1"/>
  <c r="I156" i="1"/>
  <c r="J156" i="1"/>
  <c r="K156" i="1" s="1"/>
  <c r="I157" i="1"/>
  <c r="J157" i="1"/>
  <c r="K157" i="1" s="1"/>
  <c r="I158" i="1"/>
  <c r="J158" i="1"/>
  <c r="K158" i="1" s="1"/>
  <c r="I159" i="1"/>
  <c r="J159" i="1"/>
  <c r="K159" i="1" s="1"/>
  <c r="I160" i="1"/>
  <c r="J160" i="1"/>
  <c r="K160" i="1"/>
  <c r="I161" i="1"/>
  <c r="J161" i="1"/>
  <c r="K161" i="1" s="1"/>
  <c r="I162" i="1"/>
  <c r="J162" i="1"/>
  <c r="K162" i="1" s="1"/>
  <c r="I163" i="1"/>
  <c r="J163" i="1"/>
  <c r="K163" i="1" s="1"/>
  <c r="I164" i="1"/>
  <c r="J164" i="1"/>
  <c r="K164" i="1" s="1"/>
  <c r="I165" i="1"/>
  <c r="J165" i="1"/>
  <c r="K165" i="1" s="1"/>
  <c r="I166" i="1"/>
  <c r="J166" i="1"/>
  <c r="K166" i="1" s="1"/>
  <c r="I167" i="1"/>
  <c r="J167" i="1"/>
  <c r="K167" i="1" s="1"/>
  <c r="I168" i="1"/>
  <c r="J168" i="1"/>
  <c r="K168" i="1" s="1"/>
  <c r="I169" i="1"/>
  <c r="J169" i="1"/>
  <c r="K169" i="1" s="1"/>
  <c r="I170" i="1"/>
  <c r="J170" i="1"/>
  <c r="K170" i="1" s="1"/>
  <c r="I171" i="1"/>
  <c r="J171" i="1"/>
  <c r="K171" i="1" s="1"/>
  <c r="I172" i="1"/>
  <c r="J172" i="1"/>
  <c r="K172" i="1" s="1"/>
  <c r="I173" i="1"/>
  <c r="J173" i="1"/>
  <c r="K173" i="1" s="1"/>
  <c r="I174" i="1"/>
  <c r="J174" i="1"/>
  <c r="K174" i="1" s="1"/>
  <c r="I175" i="1"/>
  <c r="J175" i="1"/>
  <c r="K175" i="1" s="1"/>
  <c r="I176" i="1"/>
  <c r="J176" i="1"/>
  <c r="K176" i="1"/>
  <c r="I177" i="1"/>
  <c r="J177" i="1"/>
  <c r="K177" i="1" s="1"/>
  <c r="I178" i="1"/>
  <c r="J178" i="1"/>
  <c r="K178" i="1" s="1"/>
  <c r="I179" i="1"/>
  <c r="J179" i="1"/>
  <c r="K179" i="1" s="1"/>
  <c r="I180" i="1"/>
  <c r="J180" i="1"/>
  <c r="K180" i="1" s="1"/>
  <c r="I181" i="1"/>
  <c r="J181" i="1"/>
  <c r="K181" i="1"/>
  <c r="I182" i="1"/>
  <c r="J182" i="1"/>
  <c r="K182" i="1" s="1"/>
  <c r="I183" i="1"/>
  <c r="J183" i="1"/>
  <c r="K183" i="1" s="1"/>
  <c r="I184" i="1"/>
  <c r="J184" i="1"/>
  <c r="K184" i="1"/>
  <c r="I185" i="1"/>
  <c r="J185" i="1"/>
  <c r="K185" i="1" s="1"/>
  <c r="I186" i="1"/>
  <c r="J186" i="1"/>
  <c r="K186" i="1" s="1"/>
  <c r="I187" i="1"/>
  <c r="J187" i="1"/>
  <c r="K187" i="1" s="1"/>
  <c r="I188" i="1"/>
  <c r="J188" i="1"/>
  <c r="K188" i="1"/>
  <c r="I189" i="1"/>
  <c r="J189" i="1"/>
  <c r="K189" i="1" s="1"/>
  <c r="I190" i="1"/>
  <c r="J190" i="1"/>
  <c r="K190" i="1" s="1"/>
  <c r="I191" i="1"/>
  <c r="J191" i="1"/>
  <c r="K191" i="1" s="1"/>
  <c r="I192" i="1"/>
  <c r="J192" i="1"/>
  <c r="K192" i="1" s="1"/>
  <c r="I193" i="1"/>
  <c r="J193" i="1"/>
  <c r="K193" i="1" s="1"/>
  <c r="I194" i="1"/>
  <c r="J194" i="1"/>
  <c r="K194" i="1" s="1"/>
  <c r="I195" i="1"/>
  <c r="J195" i="1"/>
  <c r="K195" i="1" s="1"/>
  <c r="I196" i="1"/>
  <c r="J196" i="1"/>
  <c r="K196" i="1" s="1"/>
  <c r="I197" i="1"/>
  <c r="J197" i="1"/>
  <c r="K197" i="1" s="1"/>
  <c r="I198" i="1"/>
  <c r="J198" i="1"/>
  <c r="K198" i="1" s="1"/>
  <c r="I199" i="1"/>
  <c r="J199" i="1"/>
  <c r="K199" i="1" s="1"/>
  <c r="I200" i="1"/>
  <c r="J200" i="1"/>
  <c r="K200" i="1" s="1"/>
  <c r="I201" i="1"/>
  <c r="J201" i="1"/>
  <c r="K201" i="1" s="1"/>
  <c r="I202" i="1"/>
  <c r="J202" i="1"/>
  <c r="K202" i="1" s="1"/>
  <c r="I203" i="1"/>
  <c r="J203" i="1"/>
  <c r="K203" i="1" s="1"/>
  <c r="I204" i="1"/>
  <c r="J204" i="1"/>
  <c r="K204" i="1"/>
  <c r="I205" i="1"/>
  <c r="J205" i="1"/>
  <c r="K205" i="1" s="1"/>
  <c r="I206" i="1"/>
  <c r="J206" i="1"/>
  <c r="K206" i="1" s="1"/>
  <c r="I207" i="1"/>
  <c r="J207" i="1"/>
  <c r="K207" i="1" s="1"/>
  <c r="I208" i="1"/>
  <c r="J208" i="1"/>
  <c r="K208" i="1" s="1"/>
  <c r="I209" i="1"/>
  <c r="J209" i="1"/>
  <c r="K209" i="1" s="1"/>
  <c r="I210" i="1"/>
  <c r="J210" i="1"/>
  <c r="K210" i="1" s="1"/>
  <c r="I211" i="1"/>
  <c r="J211" i="1"/>
  <c r="K211" i="1" s="1"/>
  <c r="I212" i="1"/>
  <c r="J212" i="1"/>
  <c r="K212" i="1" s="1"/>
  <c r="I213" i="1"/>
  <c r="J213" i="1"/>
  <c r="K213" i="1" s="1"/>
  <c r="I214" i="1"/>
  <c r="J214" i="1"/>
  <c r="K214" i="1" s="1"/>
  <c r="I215" i="1"/>
  <c r="J215" i="1"/>
  <c r="K215" i="1" s="1"/>
  <c r="I216" i="1"/>
  <c r="J216" i="1"/>
  <c r="K216" i="1" s="1"/>
  <c r="I217" i="1"/>
  <c r="J217" i="1"/>
  <c r="K217" i="1" s="1"/>
  <c r="I218" i="1"/>
  <c r="J218" i="1"/>
  <c r="K218" i="1" s="1"/>
  <c r="I219" i="1"/>
  <c r="J219" i="1"/>
  <c r="K219" i="1" s="1"/>
  <c r="I220" i="1"/>
  <c r="J220" i="1"/>
  <c r="K220" i="1"/>
  <c r="I221" i="1"/>
  <c r="J221" i="1"/>
  <c r="K221" i="1" s="1"/>
  <c r="I222" i="1"/>
  <c r="J222" i="1"/>
  <c r="K222" i="1" s="1"/>
  <c r="I223" i="1"/>
  <c r="J223" i="1"/>
  <c r="K223" i="1" s="1"/>
  <c r="I224" i="1"/>
  <c r="J224" i="1"/>
  <c r="K224" i="1" s="1"/>
  <c r="I225" i="1"/>
  <c r="J225" i="1"/>
  <c r="K225" i="1" s="1"/>
  <c r="I226" i="1"/>
  <c r="J226" i="1"/>
  <c r="K226" i="1" s="1"/>
  <c r="I227" i="1"/>
  <c r="J227" i="1"/>
  <c r="K227" i="1" s="1"/>
  <c r="I228" i="1"/>
  <c r="J228" i="1"/>
  <c r="K228" i="1" s="1"/>
  <c r="I229" i="1"/>
  <c r="J229" i="1"/>
  <c r="K229" i="1" s="1"/>
  <c r="I230" i="1"/>
  <c r="J230" i="1"/>
  <c r="K230" i="1" s="1"/>
  <c r="I231" i="1"/>
  <c r="J231" i="1"/>
  <c r="K231" i="1" s="1"/>
  <c r="I232" i="1"/>
  <c r="J232" i="1"/>
  <c r="K232" i="1" s="1"/>
  <c r="I233" i="1"/>
  <c r="J233" i="1"/>
  <c r="K233" i="1" s="1"/>
  <c r="I234" i="1"/>
  <c r="J234" i="1"/>
  <c r="K234" i="1" s="1"/>
  <c r="I235" i="1"/>
  <c r="J235" i="1"/>
  <c r="K235" i="1" s="1"/>
  <c r="I236" i="1"/>
  <c r="J236" i="1"/>
  <c r="K236" i="1"/>
  <c r="I237" i="1"/>
  <c r="J237" i="1"/>
  <c r="K237" i="1" s="1"/>
  <c r="I238" i="1"/>
  <c r="J238" i="1"/>
  <c r="K238" i="1" s="1"/>
  <c r="I239" i="1"/>
  <c r="J239" i="1"/>
  <c r="K239" i="1" s="1"/>
  <c r="I240" i="1"/>
  <c r="J240" i="1"/>
  <c r="K240" i="1" s="1"/>
  <c r="I241" i="1"/>
  <c r="J241" i="1"/>
  <c r="K241" i="1" s="1"/>
  <c r="I242" i="1"/>
  <c r="J242" i="1"/>
  <c r="K242" i="1" s="1"/>
  <c r="I243" i="1"/>
  <c r="J243" i="1"/>
  <c r="K243" i="1" s="1"/>
  <c r="I244" i="1"/>
  <c r="J244" i="1"/>
  <c r="K244" i="1" s="1"/>
  <c r="I245" i="1"/>
  <c r="J245" i="1"/>
  <c r="K245" i="1" s="1"/>
  <c r="I246" i="1"/>
  <c r="J246" i="1"/>
  <c r="K246" i="1" s="1"/>
  <c r="I247" i="1"/>
  <c r="J247" i="1"/>
  <c r="K247" i="1" s="1"/>
  <c r="I248" i="1"/>
  <c r="J248" i="1"/>
  <c r="K248" i="1" s="1"/>
  <c r="I249" i="1"/>
  <c r="J249" i="1"/>
  <c r="K249" i="1" s="1"/>
  <c r="I250" i="1"/>
  <c r="J250" i="1"/>
  <c r="K250" i="1" s="1"/>
  <c r="I251" i="1"/>
  <c r="J251" i="1"/>
  <c r="K251" i="1" s="1"/>
  <c r="I252" i="1"/>
  <c r="J252" i="1"/>
  <c r="K252" i="1"/>
  <c r="I253" i="1"/>
  <c r="J253" i="1"/>
  <c r="K253" i="1" s="1"/>
  <c r="I254" i="1"/>
  <c r="J254" i="1"/>
  <c r="K254" i="1" s="1"/>
  <c r="I255" i="1"/>
  <c r="J255" i="1"/>
  <c r="K255" i="1" s="1"/>
  <c r="I256" i="1"/>
  <c r="J256" i="1"/>
  <c r="K256" i="1" s="1"/>
  <c r="I257" i="1"/>
  <c r="J257" i="1"/>
  <c r="K257" i="1" s="1"/>
  <c r="I258" i="1"/>
  <c r="J258" i="1"/>
  <c r="K258" i="1" s="1"/>
  <c r="I259" i="1"/>
  <c r="J259" i="1"/>
  <c r="K259" i="1" s="1"/>
  <c r="I260" i="1"/>
  <c r="J260" i="1"/>
  <c r="K260" i="1" s="1"/>
  <c r="I261" i="1"/>
  <c r="J261" i="1"/>
  <c r="K261" i="1" s="1"/>
  <c r="I262" i="1"/>
  <c r="J262" i="1"/>
  <c r="K262" i="1" s="1"/>
  <c r="I263" i="1"/>
  <c r="J263" i="1"/>
  <c r="K263" i="1" s="1"/>
  <c r="I264" i="1"/>
  <c r="J264" i="1"/>
  <c r="K264" i="1" s="1"/>
  <c r="I265" i="1"/>
  <c r="J265" i="1"/>
  <c r="K265" i="1" s="1"/>
  <c r="I266" i="1"/>
  <c r="J266" i="1"/>
  <c r="K266" i="1" s="1"/>
  <c r="I267" i="1"/>
  <c r="J267" i="1"/>
  <c r="K267" i="1" s="1"/>
  <c r="I268" i="1"/>
  <c r="J268" i="1"/>
  <c r="K268" i="1"/>
  <c r="I269" i="1"/>
  <c r="J269" i="1"/>
  <c r="K269" i="1" s="1"/>
  <c r="I270" i="1"/>
  <c r="J270" i="1"/>
  <c r="K270" i="1" s="1"/>
  <c r="I271" i="1"/>
  <c r="J271" i="1"/>
  <c r="K271" i="1" s="1"/>
  <c r="I272" i="1"/>
  <c r="J272" i="1"/>
  <c r="K272" i="1" s="1"/>
  <c r="I273" i="1"/>
  <c r="J273" i="1"/>
  <c r="K273" i="1" s="1"/>
  <c r="I274" i="1"/>
  <c r="J274" i="1"/>
  <c r="K274" i="1" s="1"/>
  <c r="I275" i="1"/>
  <c r="J275" i="1"/>
  <c r="K275" i="1" s="1"/>
  <c r="I276" i="1"/>
  <c r="J276" i="1"/>
  <c r="K276" i="1" s="1"/>
  <c r="I277" i="1"/>
  <c r="J277" i="1"/>
  <c r="K277" i="1" s="1"/>
  <c r="I278" i="1"/>
  <c r="J278" i="1"/>
  <c r="K278" i="1" s="1"/>
  <c r="I279" i="1"/>
  <c r="J279" i="1"/>
  <c r="K279" i="1" s="1"/>
  <c r="I280" i="1"/>
  <c r="J280" i="1"/>
  <c r="K280" i="1" s="1"/>
  <c r="I281" i="1"/>
  <c r="J281" i="1"/>
  <c r="K281" i="1" s="1"/>
  <c r="I282" i="1"/>
  <c r="J282" i="1"/>
  <c r="K282" i="1" s="1"/>
  <c r="I283" i="1"/>
  <c r="J283" i="1"/>
  <c r="K283" i="1" s="1"/>
  <c r="I284" i="1"/>
  <c r="J284" i="1"/>
  <c r="K284" i="1" s="1"/>
  <c r="I285" i="1"/>
  <c r="J285" i="1"/>
  <c r="K285" i="1" s="1"/>
  <c r="I286" i="1"/>
  <c r="J286" i="1"/>
  <c r="K286" i="1" s="1"/>
  <c r="I287" i="1"/>
  <c r="J287" i="1"/>
  <c r="K287" i="1" s="1"/>
  <c r="I288" i="1"/>
  <c r="J288" i="1"/>
  <c r="K288" i="1" s="1"/>
  <c r="I289" i="1"/>
  <c r="J289" i="1"/>
  <c r="K289" i="1" s="1"/>
  <c r="I290" i="1"/>
  <c r="J290" i="1"/>
  <c r="K290" i="1" s="1"/>
  <c r="I291" i="1"/>
  <c r="J291" i="1"/>
  <c r="K291" i="1" s="1"/>
  <c r="I292" i="1"/>
  <c r="J292" i="1"/>
  <c r="K292" i="1" s="1"/>
  <c r="I293" i="1"/>
  <c r="J293" i="1"/>
  <c r="K293" i="1" s="1"/>
  <c r="I294" i="1"/>
  <c r="J294" i="1"/>
  <c r="K294" i="1" s="1"/>
  <c r="I295" i="1"/>
  <c r="J295" i="1"/>
  <c r="K295" i="1" s="1"/>
  <c r="I296" i="1"/>
  <c r="J296" i="1"/>
  <c r="K296" i="1"/>
  <c r="I297" i="1"/>
  <c r="J297" i="1"/>
  <c r="K297" i="1" s="1"/>
  <c r="I298" i="1"/>
  <c r="J298" i="1"/>
  <c r="K298" i="1" s="1"/>
  <c r="I299" i="1"/>
  <c r="J299" i="1"/>
  <c r="K299" i="1" s="1"/>
  <c r="I300" i="1"/>
  <c r="J300" i="1"/>
  <c r="K300" i="1" s="1"/>
  <c r="I301" i="1"/>
  <c r="J301" i="1"/>
  <c r="K301" i="1" s="1"/>
  <c r="I302" i="1"/>
  <c r="J302" i="1"/>
  <c r="K302" i="1" s="1"/>
  <c r="I303" i="1"/>
  <c r="J303" i="1"/>
  <c r="K303" i="1" s="1"/>
  <c r="I304" i="1"/>
  <c r="J304" i="1"/>
  <c r="K304" i="1" s="1"/>
  <c r="I305" i="1"/>
  <c r="J305" i="1"/>
  <c r="K305" i="1" s="1"/>
  <c r="I306" i="1"/>
  <c r="J306" i="1"/>
  <c r="K306" i="1" s="1"/>
  <c r="I307" i="1"/>
  <c r="J307" i="1"/>
  <c r="K307" i="1" s="1"/>
  <c r="I308" i="1"/>
  <c r="J308" i="1"/>
  <c r="K308" i="1" s="1"/>
  <c r="I309" i="1"/>
  <c r="J309" i="1"/>
  <c r="K309" i="1" s="1"/>
  <c r="I310" i="1"/>
  <c r="J310" i="1"/>
  <c r="K310" i="1" s="1"/>
  <c r="I311" i="1"/>
  <c r="J311" i="1"/>
  <c r="K311" i="1" s="1"/>
  <c r="I312" i="1"/>
  <c r="J312" i="1"/>
  <c r="K312" i="1"/>
  <c r="I313" i="1"/>
  <c r="J313" i="1"/>
  <c r="K313" i="1" s="1"/>
  <c r="I314" i="1"/>
  <c r="J314" i="1"/>
  <c r="K314" i="1" s="1"/>
  <c r="I315" i="1"/>
  <c r="J315" i="1"/>
  <c r="K315" i="1" s="1"/>
  <c r="I316" i="1"/>
  <c r="J316" i="1"/>
  <c r="K316" i="1" s="1"/>
  <c r="I317" i="1"/>
  <c r="J317" i="1"/>
  <c r="K317" i="1" s="1"/>
  <c r="I318" i="1"/>
  <c r="J318" i="1"/>
  <c r="K318" i="1" s="1"/>
  <c r="I319" i="1"/>
  <c r="J319" i="1"/>
  <c r="K319" i="1" s="1"/>
  <c r="I320" i="1"/>
  <c r="J320" i="1"/>
  <c r="K320" i="1" s="1"/>
  <c r="I321" i="1"/>
  <c r="J321" i="1"/>
  <c r="K321" i="1" s="1"/>
  <c r="I322" i="1"/>
  <c r="J322" i="1"/>
  <c r="K322" i="1" s="1"/>
  <c r="I323" i="1"/>
  <c r="J323" i="1"/>
  <c r="K323" i="1" s="1"/>
  <c r="I324" i="1"/>
  <c r="J324" i="1"/>
  <c r="K324" i="1"/>
  <c r="I325" i="1"/>
  <c r="J325" i="1"/>
  <c r="K325" i="1" s="1"/>
  <c r="I326" i="1"/>
  <c r="J326" i="1"/>
  <c r="K326" i="1" s="1"/>
  <c r="I327" i="1"/>
  <c r="J327" i="1"/>
  <c r="K327" i="1" s="1"/>
  <c r="I328" i="1"/>
  <c r="J328" i="1"/>
  <c r="K328" i="1" s="1"/>
  <c r="I329" i="1"/>
  <c r="J329" i="1"/>
  <c r="K329" i="1" s="1"/>
  <c r="I330" i="1"/>
  <c r="J330" i="1"/>
  <c r="K330" i="1" s="1"/>
  <c r="I331" i="1"/>
  <c r="J331" i="1"/>
  <c r="K331" i="1"/>
  <c r="I332" i="1"/>
  <c r="J332" i="1"/>
  <c r="K332" i="1" s="1"/>
  <c r="I333" i="1"/>
  <c r="J333" i="1"/>
  <c r="K333" i="1" s="1"/>
  <c r="I334" i="1"/>
  <c r="J334" i="1"/>
  <c r="K334" i="1" s="1"/>
  <c r="I335" i="1"/>
  <c r="J335" i="1"/>
  <c r="K335" i="1" s="1"/>
  <c r="I336" i="1"/>
  <c r="J336" i="1"/>
  <c r="K336" i="1" s="1"/>
  <c r="I337" i="1"/>
  <c r="J337" i="1"/>
  <c r="K337" i="1" s="1"/>
  <c r="I338" i="1"/>
  <c r="J338" i="1"/>
  <c r="K338" i="1" s="1"/>
  <c r="I339" i="1"/>
  <c r="J339" i="1"/>
  <c r="K339" i="1"/>
  <c r="I340" i="1"/>
  <c r="J340" i="1"/>
  <c r="K340" i="1" s="1"/>
  <c r="I341" i="1"/>
  <c r="J341" i="1"/>
  <c r="K341" i="1" s="1"/>
  <c r="I342" i="1"/>
  <c r="J342" i="1"/>
  <c r="K342" i="1" s="1"/>
  <c r="I343" i="1"/>
  <c r="J343" i="1"/>
  <c r="K343" i="1" s="1"/>
  <c r="I344" i="1"/>
  <c r="J344" i="1"/>
  <c r="K344" i="1" s="1"/>
  <c r="I345" i="1"/>
  <c r="J345" i="1"/>
  <c r="K345" i="1" s="1"/>
  <c r="I346" i="1"/>
  <c r="J346" i="1"/>
  <c r="K346" i="1" s="1"/>
  <c r="I347" i="1"/>
  <c r="J347" i="1"/>
  <c r="K347" i="1" s="1"/>
  <c r="I348" i="1"/>
  <c r="J348" i="1"/>
  <c r="K348" i="1" s="1"/>
  <c r="I349" i="1"/>
  <c r="J349" i="1"/>
  <c r="K349" i="1" s="1"/>
  <c r="I350" i="1"/>
  <c r="J350" i="1"/>
  <c r="K350" i="1" s="1"/>
  <c r="I351" i="1"/>
  <c r="J351" i="1"/>
  <c r="K351" i="1" s="1"/>
  <c r="I352" i="1"/>
  <c r="J352" i="1"/>
  <c r="K352" i="1" s="1"/>
  <c r="I353" i="1"/>
  <c r="J353" i="1"/>
  <c r="K353" i="1" s="1"/>
  <c r="I354" i="1"/>
  <c r="J354" i="1"/>
  <c r="K354" i="1" s="1"/>
  <c r="I355" i="1"/>
  <c r="J355" i="1"/>
  <c r="K355" i="1" s="1"/>
  <c r="I356" i="1"/>
  <c r="J356" i="1"/>
  <c r="K356" i="1" s="1"/>
  <c r="I357" i="1"/>
  <c r="J357" i="1"/>
  <c r="K357" i="1" s="1"/>
  <c r="I358" i="1"/>
  <c r="J358" i="1"/>
  <c r="K358" i="1" s="1"/>
  <c r="I359" i="1"/>
  <c r="J359" i="1"/>
  <c r="K359" i="1"/>
  <c r="I360" i="1"/>
  <c r="J360" i="1"/>
  <c r="K360" i="1" s="1"/>
  <c r="I361" i="1"/>
  <c r="J361" i="1"/>
  <c r="K361" i="1" s="1"/>
  <c r="I362" i="1"/>
  <c r="J362" i="1"/>
  <c r="K362" i="1" s="1"/>
  <c r="I363" i="1"/>
  <c r="J363" i="1"/>
  <c r="K363" i="1" s="1"/>
  <c r="I364" i="1"/>
  <c r="J364" i="1"/>
  <c r="K364" i="1" s="1"/>
  <c r="I365" i="1"/>
  <c r="J365" i="1"/>
  <c r="K365" i="1" s="1"/>
  <c r="I366" i="1"/>
  <c r="J366" i="1"/>
  <c r="K366" i="1" s="1"/>
  <c r="I367" i="1"/>
  <c r="J367" i="1"/>
  <c r="K367" i="1" s="1"/>
  <c r="I368" i="1"/>
  <c r="J368" i="1"/>
  <c r="K368" i="1" s="1"/>
  <c r="I369" i="1"/>
  <c r="J369" i="1"/>
  <c r="K369" i="1" s="1"/>
  <c r="I370" i="1"/>
  <c r="J370" i="1"/>
  <c r="K370" i="1" s="1"/>
  <c r="I371" i="1"/>
  <c r="J371" i="1"/>
  <c r="K371" i="1" s="1"/>
  <c r="I372" i="1"/>
  <c r="J372" i="1"/>
  <c r="K372" i="1" s="1"/>
  <c r="I373" i="1"/>
  <c r="J373" i="1"/>
  <c r="K373" i="1" s="1"/>
  <c r="I374" i="1"/>
  <c r="J374" i="1"/>
  <c r="K374" i="1" s="1"/>
  <c r="I375" i="1"/>
  <c r="J375" i="1"/>
  <c r="K375" i="1"/>
  <c r="I376" i="1"/>
  <c r="J376" i="1"/>
  <c r="K376" i="1" s="1"/>
  <c r="I377" i="1"/>
  <c r="J377" i="1"/>
  <c r="K377" i="1" s="1"/>
  <c r="I378" i="1"/>
  <c r="J378" i="1"/>
  <c r="K378" i="1" s="1"/>
  <c r="I379" i="1"/>
  <c r="J379" i="1"/>
  <c r="K379" i="1" s="1"/>
  <c r="I380" i="1"/>
  <c r="J380" i="1"/>
  <c r="K380" i="1" s="1"/>
  <c r="I381" i="1"/>
  <c r="J381" i="1"/>
  <c r="K381" i="1" s="1"/>
  <c r="I382" i="1"/>
  <c r="J382" i="1"/>
  <c r="K382" i="1" s="1"/>
  <c r="I383" i="1"/>
  <c r="J383" i="1"/>
  <c r="K383" i="1" s="1"/>
  <c r="I384" i="1"/>
  <c r="J384" i="1"/>
  <c r="K384" i="1" s="1"/>
  <c r="I385" i="1"/>
  <c r="J385" i="1"/>
  <c r="K385" i="1" s="1"/>
  <c r="I386" i="1"/>
  <c r="J386" i="1"/>
  <c r="K386" i="1" s="1"/>
  <c r="I387" i="1"/>
  <c r="J387" i="1"/>
  <c r="K387" i="1" s="1"/>
  <c r="I388" i="1"/>
  <c r="J388" i="1"/>
  <c r="K388" i="1" s="1"/>
  <c r="I389" i="1"/>
  <c r="J389" i="1"/>
  <c r="K389" i="1" s="1"/>
  <c r="I390" i="1"/>
  <c r="J390" i="1"/>
  <c r="K390" i="1" s="1"/>
  <c r="I391" i="1"/>
  <c r="J391" i="1"/>
  <c r="K391" i="1"/>
  <c r="I392" i="1"/>
  <c r="J392" i="1"/>
  <c r="K392" i="1" s="1"/>
  <c r="I393" i="1"/>
  <c r="J393" i="1"/>
  <c r="K393" i="1" s="1"/>
  <c r="I394" i="1"/>
  <c r="J394" i="1"/>
  <c r="K394" i="1" s="1"/>
  <c r="I395" i="1"/>
  <c r="J395" i="1"/>
  <c r="K395" i="1" s="1"/>
  <c r="I396" i="1"/>
  <c r="J396" i="1"/>
  <c r="K396" i="1" s="1"/>
  <c r="I397" i="1"/>
  <c r="J397" i="1"/>
  <c r="K397" i="1" s="1"/>
  <c r="I398" i="1"/>
  <c r="J398" i="1"/>
  <c r="K398" i="1" s="1"/>
  <c r="I399" i="1"/>
  <c r="J399" i="1"/>
  <c r="K399" i="1" s="1"/>
  <c r="I400" i="1"/>
  <c r="J400" i="1"/>
  <c r="K400" i="1" s="1"/>
  <c r="I401" i="1"/>
  <c r="J401" i="1"/>
  <c r="K401" i="1" s="1"/>
  <c r="I402" i="1"/>
  <c r="J402" i="1"/>
  <c r="K402" i="1" s="1"/>
  <c r="I403" i="1"/>
  <c r="J403" i="1"/>
  <c r="K403" i="1"/>
  <c r="I404" i="1"/>
  <c r="J404" i="1"/>
  <c r="K404" i="1" s="1"/>
  <c r="I405" i="1"/>
  <c r="J405" i="1"/>
  <c r="K405" i="1" s="1"/>
  <c r="I406" i="1"/>
  <c r="J406" i="1"/>
  <c r="K406" i="1" s="1"/>
  <c r="I407" i="1"/>
  <c r="J407" i="1"/>
  <c r="K407" i="1" s="1"/>
  <c r="I408" i="1"/>
  <c r="J408" i="1"/>
  <c r="K408" i="1" s="1"/>
  <c r="I409" i="1"/>
  <c r="J409" i="1"/>
  <c r="K409" i="1" s="1"/>
  <c r="I410" i="1"/>
  <c r="J410" i="1"/>
  <c r="K410" i="1" s="1"/>
  <c r="I411" i="1"/>
  <c r="J411" i="1"/>
  <c r="K411" i="1" s="1"/>
  <c r="I412" i="1"/>
  <c r="J412" i="1"/>
  <c r="K412" i="1" s="1"/>
  <c r="I413" i="1"/>
  <c r="J413" i="1"/>
  <c r="K413" i="1" s="1"/>
  <c r="I414" i="1"/>
  <c r="J414" i="1"/>
  <c r="K414" i="1" s="1"/>
  <c r="I415" i="1"/>
  <c r="J415" i="1"/>
  <c r="K415" i="1" s="1"/>
  <c r="I416" i="1"/>
  <c r="J416" i="1"/>
  <c r="K416" i="1" s="1"/>
  <c r="I417" i="1"/>
  <c r="J417" i="1"/>
  <c r="K417" i="1" s="1"/>
  <c r="I418" i="1"/>
  <c r="J418" i="1"/>
  <c r="K418" i="1" s="1"/>
  <c r="I419" i="1"/>
  <c r="J419" i="1"/>
  <c r="K419" i="1"/>
  <c r="I420" i="1"/>
  <c r="J420" i="1"/>
  <c r="K420" i="1" s="1"/>
  <c r="I421" i="1"/>
  <c r="J421" i="1"/>
  <c r="K421" i="1" s="1"/>
  <c r="I422" i="1"/>
  <c r="J422" i="1"/>
  <c r="K422" i="1" s="1"/>
  <c r="I423" i="1"/>
  <c r="J423" i="1"/>
  <c r="K423" i="1" s="1"/>
  <c r="I424" i="1"/>
  <c r="J424" i="1"/>
  <c r="K424" i="1" s="1"/>
  <c r="I425" i="1"/>
  <c r="J425" i="1"/>
  <c r="K425" i="1" s="1"/>
  <c r="I426" i="1"/>
  <c r="J426" i="1"/>
  <c r="K426" i="1" s="1"/>
  <c r="I427" i="1"/>
  <c r="J427" i="1"/>
  <c r="K427" i="1" s="1"/>
  <c r="I428" i="1"/>
  <c r="J428" i="1"/>
  <c r="K428" i="1" s="1"/>
  <c r="I429" i="1"/>
  <c r="J429" i="1"/>
  <c r="K429" i="1" s="1"/>
  <c r="I430" i="1"/>
  <c r="J430" i="1"/>
  <c r="K430" i="1" s="1"/>
  <c r="I431" i="1"/>
  <c r="J431" i="1"/>
  <c r="K431" i="1" s="1"/>
  <c r="I432" i="1"/>
  <c r="J432" i="1"/>
  <c r="K432" i="1" s="1"/>
  <c r="I433" i="1"/>
  <c r="J433" i="1"/>
  <c r="K433" i="1" s="1"/>
  <c r="I434" i="1"/>
  <c r="J434" i="1"/>
  <c r="K434" i="1" s="1"/>
  <c r="I435" i="1"/>
  <c r="J435" i="1"/>
  <c r="K435" i="1"/>
  <c r="I436" i="1"/>
  <c r="J436" i="1"/>
  <c r="K436" i="1" s="1"/>
  <c r="I437" i="1"/>
  <c r="J437" i="1"/>
  <c r="K437" i="1" s="1"/>
  <c r="I438" i="1"/>
  <c r="J438" i="1"/>
  <c r="K438" i="1" s="1"/>
  <c r="I439" i="1"/>
  <c r="J439" i="1"/>
  <c r="K439" i="1" s="1"/>
  <c r="I440" i="1"/>
  <c r="J440" i="1"/>
  <c r="K440" i="1" s="1"/>
  <c r="I441" i="1"/>
  <c r="J441" i="1"/>
  <c r="K441" i="1" s="1"/>
  <c r="I442" i="1"/>
  <c r="J442" i="1"/>
  <c r="K442" i="1" s="1"/>
  <c r="I443" i="1"/>
  <c r="J443" i="1"/>
  <c r="K443" i="1" s="1"/>
  <c r="I444" i="1"/>
  <c r="J444" i="1"/>
  <c r="K444" i="1" s="1"/>
  <c r="I445" i="1"/>
  <c r="J445" i="1"/>
  <c r="K445" i="1" s="1"/>
  <c r="I446" i="1"/>
  <c r="J446" i="1"/>
  <c r="K446" i="1" s="1"/>
  <c r="I447" i="1"/>
  <c r="J447" i="1"/>
  <c r="K447" i="1" s="1"/>
  <c r="I448" i="1"/>
  <c r="J448" i="1"/>
  <c r="K448" i="1" s="1"/>
  <c r="I449" i="1"/>
  <c r="J449" i="1"/>
  <c r="K449" i="1" s="1"/>
  <c r="I450" i="1"/>
  <c r="J450" i="1"/>
  <c r="K450" i="1" s="1"/>
  <c r="I451" i="1"/>
  <c r="J451" i="1"/>
  <c r="K451" i="1"/>
  <c r="I452" i="1"/>
  <c r="J452" i="1"/>
  <c r="K452" i="1" s="1"/>
  <c r="I453" i="1"/>
  <c r="J453" i="1"/>
  <c r="K453" i="1" s="1"/>
  <c r="I454" i="1"/>
  <c r="J454" i="1"/>
  <c r="K454" i="1" s="1"/>
  <c r="I455" i="1"/>
  <c r="J455" i="1"/>
  <c r="K455" i="1" s="1"/>
  <c r="I456" i="1"/>
  <c r="J456" i="1"/>
  <c r="K456" i="1" s="1"/>
  <c r="I457" i="1"/>
  <c r="J457" i="1"/>
  <c r="K457" i="1" s="1"/>
  <c r="I458" i="1"/>
  <c r="J458" i="1"/>
  <c r="K458" i="1" s="1"/>
  <c r="I459" i="1"/>
  <c r="J459" i="1"/>
  <c r="K459" i="1" s="1"/>
  <c r="I460" i="1"/>
  <c r="J460" i="1"/>
  <c r="K460" i="1" s="1"/>
  <c r="I461" i="1"/>
  <c r="J461" i="1"/>
  <c r="K461" i="1" s="1"/>
  <c r="I462" i="1"/>
  <c r="J462" i="1"/>
  <c r="K462" i="1" s="1"/>
  <c r="I463" i="1"/>
  <c r="J463" i="1"/>
  <c r="K463" i="1"/>
  <c r="I464" i="1"/>
  <c r="J464" i="1"/>
  <c r="K464" i="1" s="1"/>
  <c r="I465" i="1"/>
  <c r="J465" i="1"/>
  <c r="K465" i="1" s="1"/>
  <c r="I466" i="1"/>
  <c r="J466" i="1"/>
  <c r="K466" i="1" s="1"/>
  <c r="I467" i="1"/>
  <c r="J467" i="1"/>
  <c r="K467" i="1"/>
  <c r="I468" i="1"/>
  <c r="J468" i="1"/>
  <c r="K468" i="1" s="1"/>
  <c r="I469" i="1"/>
  <c r="J469" i="1"/>
  <c r="K469" i="1" s="1"/>
  <c r="I470" i="1"/>
  <c r="J470" i="1"/>
  <c r="K470" i="1" s="1"/>
  <c r="I471" i="1"/>
  <c r="J471" i="1"/>
  <c r="K471" i="1" s="1"/>
  <c r="I472" i="1"/>
  <c r="J472" i="1"/>
  <c r="K472" i="1" s="1"/>
  <c r="I473" i="1"/>
  <c r="J473" i="1"/>
  <c r="K473" i="1" s="1"/>
  <c r="I474" i="1"/>
  <c r="J474" i="1"/>
  <c r="K474" i="1" s="1"/>
  <c r="I475" i="1"/>
  <c r="J475" i="1"/>
  <c r="K475" i="1" s="1"/>
  <c r="I476" i="1"/>
  <c r="J476" i="1"/>
  <c r="K476" i="1" s="1"/>
  <c r="I477" i="1"/>
  <c r="J477" i="1"/>
  <c r="K477" i="1" s="1"/>
  <c r="I478" i="1"/>
  <c r="J478" i="1"/>
  <c r="K478" i="1" s="1"/>
  <c r="I479" i="1"/>
  <c r="J479" i="1"/>
  <c r="K479" i="1" s="1"/>
  <c r="I480" i="1"/>
  <c r="J480" i="1"/>
  <c r="K480" i="1" s="1"/>
  <c r="I481" i="1"/>
  <c r="J481" i="1"/>
  <c r="K481" i="1" s="1"/>
  <c r="I482" i="1"/>
  <c r="J482" i="1"/>
  <c r="K482" i="1" s="1"/>
  <c r="I483" i="1"/>
  <c r="J483" i="1"/>
  <c r="K483" i="1"/>
  <c r="I484" i="1"/>
  <c r="J484" i="1"/>
  <c r="K484" i="1" s="1"/>
  <c r="I485" i="1"/>
  <c r="J485" i="1"/>
  <c r="K485" i="1" s="1"/>
  <c r="I486" i="1"/>
  <c r="J486" i="1"/>
  <c r="K486" i="1" s="1"/>
  <c r="I487" i="1"/>
  <c r="J487" i="1"/>
  <c r="K487" i="1" s="1"/>
  <c r="I488" i="1"/>
  <c r="J488" i="1"/>
  <c r="K488" i="1" s="1"/>
  <c r="I489" i="1"/>
  <c r="J489" i="1"/>
  <c r="K489" i="1" s="1"/>
  <c r="I490" i="1"/>
  <c r="J490" i="1"/>
  <c r="K490" i="1" s="1"/>
  <c r="I491" i="1"/>
  <c r="J491" i="1"/>
  <c r="K491" i="1" s="1"/>
  <c r="I492" i="1"/>
  <c r="J492" i="1"/>
  <c r="K492" i="1" s="1"/>
  <c r="I493" i="1"/>
  <c r="J493" i="1"/>
  <c r="K493" i="1" s="1"/>
  <c r="I494" i="1"/>
  <c r="J494" i="1"/>
  <c r="K494" i="1" s="1"/>
  <c r="I495" i="1"/>
  <c r="J495" i="1"/>
  <c r="K495" i="1" s="1"/>
  <c r="I496" i="1"/>
  <c r="J496" i="1"/>
  <c r="K496" i="1" s="1"/>
  <c r="I497" i="1"/>
  <c r="J497" i="1"/>
  <c r="K497" i="1" s="1"/>
  <c r="I498" i="1"/>
  <c r="J498" i="1"/>
  <c r="K498" i="1" s="1"/>
  <c r="I499" i="1"/>
  <c r="J499" i="1"/>
  <c r="K499" i="1"/>
  <c r="I500" i="1"/>
  <c r="J500" i="1"/>
  <c r="K500" i="1" s="1"/>
  <c r="I501" i="1"/>
  <c r="J501" i="1"/>
  <c r="K501" i="1" s="1"/>
  <c r="X2" i="1"/>
  <c r="W2" i="1"/>
  <c r="V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<sst xmlns="http://schemas.openxmlformats.org/spreadsheetml/2006/main" count="8557" uniqueCount="1596">
  <si>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</si>
  <si>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</si>
  <si>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</si>
  <si>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</si>
  <si>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</si>
  <si>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</si>
  <si>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</si>
  <si>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</si>
  <si>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</si>
  <si>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</si>
  <si>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</si>
  <si>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</si>
  <si>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</si>
  <si>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</si>
  <si>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</si>
  <si>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</si>
  <si>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</si>
  <si>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</si>
  <si>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</si>
  <si>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</si>
  <si>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</si>
  <si>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</si>
  <si>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</si>
  <si>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</si>
  <si>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</si>
  <si>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</si>
  <si>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</si>
  <si>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</si>
  <si>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</si>
  <si>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</si>
  <si>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</si>
  <si>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</si>
  <si>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</si>
  <si>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</si>
  <si>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</si>
  <si>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</si>
  <si>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</si>
  <si>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</si>
  <si>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</si>
  <si>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</si>
  <si>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</si>
  <si>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</si>
  <si>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</si>
  <si>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</si>
  <si>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</si>
  <si>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</si>
  <si>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</si>
  <si>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</si>
  <si>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</si>
  <si>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</si>
  <si>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</si>
  <si>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</si>
  <si>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</si>
  <si>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</si>
  <si>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</si>
  <si>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</si>
  <si>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</si>
  <si>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</si>
  <si>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</si>
  <si>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</si>
  <si>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</si>
  <si>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</si>
  <si>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</si>
  <si>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</si>
  <si>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</si>
  <si>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</si>
  <si>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</si>
  <si>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</si>
  <si>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</si>
  <si>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</si>
  <si>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</si>
  <si>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</si>
  <si>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</si>
  <si>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</si>
  <si>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</si>
  <si>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</si>
  <si>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</si>
  <si>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</si>
  <si>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</si>
  <si>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</si>
  <si>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</si>
  <si>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</si>
  <si>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</si>
  <si>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</si>
  <si>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</si>
  <si>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</si>
  <si>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</si>
  <si>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</si>
  <si>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</si>
  <si>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</si>
  <si>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</si>
  <si>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</si>
  <si>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</si>
  <si>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</si>
  <si>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</si>
  <si>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</si>
  <si>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</si>
  <si>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</si>
  <si>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</si>
  <si>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</si>
  <si>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</si>
  <si>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</si>
  <si>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</si>
  <si>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</si>
  <si>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</si>
  <si>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</si>
  <si>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</si>
  <si>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</si>
  <si>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</si>
  <si>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</si>
  <si>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</si>
  <si>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</si>
  <si>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</si>
  <si>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</si>
  <si>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</si>
  <si>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</si>
  <si>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</si>
  <si>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</si>
  <si>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</si>
  <si>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</si>
  <si>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</si>
  <si>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</si>
  <si>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</si>
  <si>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</si>
  <si>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</si>
  <si>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</si>
  <si>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</si>
  <si>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</si>
  <si>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</si>
  <si>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</si>
  <si>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</si>
  <si>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</si>
  <si>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</si>
  <si>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</si>
  <si>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</si>
  <si>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</si>
  <si>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</si>
  <si>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</si>
  <si>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</si>
  <si>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</si>
  <si>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</si>
  <si>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</si>
  <si>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</si>
  <si>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</si>
  <si>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</si>
  <si>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</si>
  <si>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</si>
  <si>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</si>
  <si>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</si>
  <si>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</si>
  <si>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</si>
  <si>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</si>
  <si>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</si>
  <si>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</si>
  <si>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</si>
  <si>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</si>
  <si>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</si>
  <si>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</si>
  <si>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</si>
  <si>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</si>
  <si>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</si>
  <si>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</si>
  <si>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</si>
  <si>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</si>
  <si>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</si>
  <si>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</si>
  <si>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</si>
  <si>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</si>
  <si>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</si>
  <si>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</si>
  <si>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</si>
  <si>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</si>
  <si>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</si>
  <si>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</si>
  <si>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</si>
  <si>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</si>
  <si>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</si>
  <si>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</si>
  <si>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</si>
  <si>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</si>
  <si>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</si>
  <si>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</si>
  <si>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</si>
  <si>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</si>
  <si>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</si>
  <si>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</si>
  <si>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</si>
  <si>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</si>
  <si>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</si>
  <si>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</si>
  <si>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</si>
  <si>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</si>
  <si>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</si>
  <si>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</si>
  <si>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</si>
  <si>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</si>
  <si>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</si>
  <si>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</si>
  <si>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</si>
  <si>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</si>
  <si>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</si>
  <si>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</si>
  <si>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</si>
  <si>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</si>
  <si>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</si>
  <si>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</si>
  <si>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</si>
  <si>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</si>
  <si>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</si>
  <si>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</si>
  <si>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</si>
  <si>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</si>
  <si>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</si>
  <si>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</si>
  <si>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</si>
  <si>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</si>
  <si>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</si>
  <si>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</si>
  <si>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</si>
  <si>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</si>
  <si>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</si>
  <si>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</si>
  <si>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</si>
  <si>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</si>
  <si>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</si>
  <si>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</si>
  <si>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</si>
  <si>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</si>
  <si>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</si>
  <si>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</si>
  <si>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</si>
  <si>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</si>
  <si>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</si>
  <si>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</si>
  <si>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</si>
  <si>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</si>
  <si>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</si>
  <si>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</si>
  <si>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</si>
  <si>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</si>
  <si>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</si>
  <si>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</si>
  <si>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</si>
  <si>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</si>
  <si>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</si>
  <si>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</si>
  <si>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</si>
  <si>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</si>
  <si>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</si>
  <si>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</si>
  <si>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</si>
  <si>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</si>
  <si>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</si>
  <si>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</si>
  <si>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</si>
  <si>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</si>
  <si>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</si>
  <si>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</si>
  <si>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</si>
  <si>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</si>
  <si>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</si>
  <si>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</si>
  <si>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</si>
  <si>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</si>
  <si>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</si>
  <si>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</si>
  <si>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</si>
  <si>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</si>
  <si>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</si>
  <si>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</si>
  <si>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</si>
  <si>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</si>
  <si>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</si>
  <si>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</si>
  <si>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</si>
  <si>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</si>
  <si>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</si>
  <si>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</si>
  <si>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</si>
  <si>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</si>
  <si>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</si>
  <si>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</si>
  <si>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</si>
  <si>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</si>
  <si>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</si>
  <si>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</si>
  <si>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</si>
  <si>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</si>
  <si>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</si>
  <si>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</si>
  <si>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</si>
  <si>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</si>
  <si>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</si>
  <si>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</si>
  <si>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</si>
  <si>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</si>
  <si>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</si>
  <si>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</si>
  <si>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</si>
  <si>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</si>
  <si>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</si>
  <si>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</si>
  <si>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</si>
  <si>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</si>
  <si>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</si>
  <si>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</si>
  <si>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</si>
  <si>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</si>
  <si>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</si>
  <si>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</si>
  <si>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</si>
  <si>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</si>
  <si>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</si>
  <si>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</si>
  <si>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</si>
  <si>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</si>
  <si>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</si>
  <si>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</si>
  <si>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</si>
  <si>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</si>
  <si>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</si>
  <si>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</si>
  <si>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</si>
  <si>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</si>
  <si>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</si>
  <si>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</si>
  <si>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</si>
  <si>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</si>
  <si>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</si>
  <si>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</si>
  <si>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</si>
  <si>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</si>
  <si>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</si>
  <si>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</si>
  <si>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</si>
  <si>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</si>
  <si>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</si>
  <si>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</si>
  <si>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</si>
  <si>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</si>
  <si>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</si>
  <si>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</si>
  <si>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</si>
  <si>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</si>
  <si>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</si>
  <si>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</si>
  <si>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</si>
  <si>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</si>
  <si>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</si>
  <si>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</si>
  <si>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</si>
  <si>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</si>
  <si>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</si>
  <si>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</si>
  <si>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</si>
  <si>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</si>
  <si>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</si>
  <si>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</si>
  <si>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</si>
  <si>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</si>
  <si>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</si>
  <si>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</si>
  <si>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</si>
  <si>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</si>
  <si>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</si>
  <si>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</si>
  <si>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</si>
  <si>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</si>
  <si>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</si>
  <si>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</si>
  <si>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</si>
  <si>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</si>
  <si>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</si>
  <si>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</si>
  <si>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</si>
  <si>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</si>
  <si>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</si>
  <si>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</si>
  <si>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</si>
  <si>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</si>
  <si>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</si>
  <si>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</si>
  <si>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</si>
  <si>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</si>
  <si>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</si>
  <si>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</si>
  <si>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</si>
  <si>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</si>
  <si>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</si>
  <si>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</si>
  <si>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</si>
  <si>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</si>
  <si>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</si>
  <si>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</si>
  <si>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</si>
  <si>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</si>
  <si>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</si>
  <si>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</si>
  <si>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</si>
  <si>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</si>
  <si>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</si>
  <si>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</si>
  <si>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</si>
  <si>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</si>
  <si>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</si>
  <si>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</si>
  <si>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</si>
  <si>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</si>
  <si>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</si>
  <si>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</si>
  <si>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</si>
  <si>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</si>
  <si>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</si>
  <si>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</si>
  <si>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</si>
  <si>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</si>
  <si>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</si>
  <si>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</si>
  <si>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</si>
  <si>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</si>
  <si>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</si>
  <si>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</si>
  <si>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</si>
  <si>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</si>
  <si>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</si>
  <si>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</si>
  <si>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</si>
  <si>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</si>
  <si>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</si>
  <si>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</si>
  <si>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</si>
  <si>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</si>
  <si>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</si>
  <si>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</si>
  <si>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</si>
  <si>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</si>
  <si>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</si>
  <si>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</si>
  <si>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</si>
  <si>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</si>
  <si>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</si>
  <si>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</si>
  <si>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</si>
  <si>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</si>
  <si>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</si>
  <si>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</si>
  <si>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</si>
  <si>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</si>
  <si>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</si>
  <si>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</si>
  <si>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</si>
  <si>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</si>
  <si>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</si>
  <si>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</si>
  <si>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</si>
  <si>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</si>
  <si>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</si>
  <si>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</si>
  <si>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</si>
  <si>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</si>
  <si>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</si>
  <si>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</si>
  <si>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</si>
  <si>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</si>
  <si>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</si>
  <si>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</si>
  <si>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</si>
  <si>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</si>
  <si>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</si>
  <si>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</si>
  <si>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</si>
  <si>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</si>
  <si>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</si>
  <si>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</si>
  <si>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</si>
  <si>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</si>
  <si>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</si>
  <si>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</si>
  <si>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</si>
  <si>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</si>
  <si>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</si>
  <si>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</si>
  <si>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</si>
  <si>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</si>
  <si>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</si>
  <si>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</si>
  <si>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</si>
  <si>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</si>
  <si>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</si>
  <si>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</si>
  <si>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</si>
  <si>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</si>
  <si>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</si>
  <si>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</si>
  <si>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</si>
  <si>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</si>
  <si>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</si>
  <si>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</si>
  <si>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</si>
  <si>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</si>
  <si>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</si>
  <si>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</si>
  <si>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</si>
  <si>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</si>
  <si>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</si>
  <si>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</si>
  <si>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</si>
  <si>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</si>
  <si>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</si>
  <si>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</si>
  <si>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</si>
  <si>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</si>
  <si>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</si>
  <si>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</si>
  <si>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</si>
  <si>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</si>
  <si>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</si>
  <si>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</si>
  <si>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</si>
  <si>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</si>
  <si>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</si>
  <si>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</si>
  <si>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</si>
  <si>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</si>
  <si>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</si>
  <si>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</si>
  <si>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</si>
  <si>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</si>
  <si>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</si>
  <si>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</si>
  <si>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</si>
  <si>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</si>
  <si>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</si>
  <si>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</si>
  <si>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</si>
  <si>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</si>
  <si>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</si>
  <si>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</si>
  <si>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</si>
  <si>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</si>
  <si>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</si>
  <si>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</si>
  <si>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</si>
  <si>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</si>
  <si>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</si>
  <si>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</si>
  <si>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</si>
  <si>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</si>
  <si>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</si>
  <si>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</si>
  <si>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</si>
  <si>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</si>
  <si>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</si>
  <si>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</si>
  <si>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</si>
  <si>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</si>
  <si>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</si>
  <si>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</si>
  <si>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</si>
  <si>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</si>
  <si>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</si>
  <si>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</si>
  <si>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</si>
  <si>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</si>
  <si>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</si>
  <si>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</si>
  <si>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</si>
  <si>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</si>
  <si>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</si>
  <si>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</si>
  <si>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</si>
  <si>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</si>
  <si>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</si>
  <si>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</si>
  <si>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</si>
  <si>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</si>
  <si>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</si>
  <si>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</si>
  <si>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</si>
  <si>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</si>
  <si>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</si>
  <si>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</si>
  <si>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</si>
  <si>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</si>
  <si>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</si>
  <si>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</si>
  <si>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</si>
  <si>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</si>
  <si>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</si>
  <si>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</si>
  <si>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</si>
  <si>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</si>
  <si>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</si>
  <si>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</si>
  <si>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</si>
  <si>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</si>
  <si>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</si>
  <si>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</si>
  <si>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</si>
  <si>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</si>
  <si>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</si>
  <si>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</si>
  <si>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</si>
  <si>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</si>
  <si>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</si>
  <si>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</si>
  <si>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</si>
  <si>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</si>
  <si>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</si>
  <si>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</si>
  <si>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</si>
  <si>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</si>
  <si>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</si>
  <si>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</si>
  <si>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</si>
  <si>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</si>
  <si>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</si>
  <si>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</si>
  <si>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</si>
  <si>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</si>
  <si>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</si>
  <si>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</si>
  <si>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</si>
  <si>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</si>
  <si>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</si>
  <si>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</si>
  <si>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</si>
  <si>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</si>
  <si>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</si>
  <si>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</si>
  <si>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</si>
  <si>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</si>
  <si>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</si>
  <si>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</si>
  <si>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</si>
  <si>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</si>
  <si>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</si>
  <si>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</si>
  <si>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</si>
  <si>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</si>
  <si>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</si>
  <si>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</si>
  <si>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</si>
  <si>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</si>
  <si>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</si>
  <si>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</si>
  <si>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</si>
  <si>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</si>
  <si>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</si>
  <si>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</si>
  <si>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</si>
  <si>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</si>
  <si>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</si>
  <si>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</si>
  <si>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</si>
  <si>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</si>
  <si>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</si>
  <si>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</si>
  <si>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</si>
  <si>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</si>
  <si>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</si>
  <si>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</si>
  <si>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</si>
  <si>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</si>
  <si>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</si>
  <si>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</si>
  <si>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</si>
  <si>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</si>
  <si>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</si>
  <si>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</si>
  <si>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</si>
  <si>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</si>
  <si>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</si>
  <si>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</si>
  <si>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</si>
  <si>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</si>
  <si>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</si>
  <si>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</si>
  <si>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</si>
  <si>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</si>
  <si>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</si>
  <si>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</si>
  <si>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</si>
  <si>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</si>
  <si>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</si>
  <si>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</si>
  <si>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</si>
  <si>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</si>
  <si>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</si>
  <si>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</si>
  <si>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</si>
  <si>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</si>
  <si>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</si>
  <si>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</si>
  <si>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</si>
  <si>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</si>
  <si>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</si>
  <si>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</si>
  <si>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</si>
  <si>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</si>
  <si>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</si>
  <si>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</si>
  <si>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</si>
  <si>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</si>
  <si>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</si>
  <si>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</si>
  <si>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</si>
  <si>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</si>
  <si>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</si>
  <si>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</si>
  <si>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</si>
  <si>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</si>
  <si>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</si>
  <si>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</si>
  <si>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</si>
  <si>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</si>
  <si>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</si>
  <si>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</si>
  <si>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</si>
  <si>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</si>
  <si>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</si>
  <si>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</si>
  <si>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</si>
  <si>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</si>
  <si>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</si>
  <si>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</si>
  <si>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</si>
  <si>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</si>
  <si>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</si>
  <si>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</si>
  <si>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</si>
  <si>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</si>
  <si>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</si>
  <si>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</si>
  <si>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</si>
  <si>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</si>
  <si>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</si>
  <si>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</si>
  <si>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</si>
  <si>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</si>
  <si>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</si>
  <si>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</si>
  <si>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</si>
  <si>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</si>
  <si>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</si>
  <si>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</si>
  <si>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</si>
  <si>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</si>
  <si>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</si>
  <si>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</si>
  <si>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</si>
  <si>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</si>
  <si>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</si>
  <si>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</si>
  <si>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</si>
  <si>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</si>
  <si>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</si>
  <si>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</si>
  <si>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</si>
  <si>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</si>
  <si>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</si>
  <si>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</si>
  <si>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</si>
  <si>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</si>
  <si>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</si>
  <si>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</si>
  <si>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</si>
  <si>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</si>
  <si>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</si>
  <si>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</si>
  <si>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</si>
  <si>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</si>
  <si>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</si>
  <si>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</si>
  <si>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</si>
  <si>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</si>
  <si>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</si>
  <si>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</si>
  <si>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</si>
  <si>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</si>
  <si>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</si>
  <si>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</si>
  <si>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</si>
  <si>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</si>
  <si>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</si>
  <si>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</si>
  <si>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</si>
  <si>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</si>
  <si>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</si>
  <si>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</si>
  <si>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</si>
  <si>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</si>
  <si>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</si>
  <si>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</si>
  <si>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</si>
  <si>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</si>
  <si>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</si>
  <si>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</si>
  <si>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</si>
  <si>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</si>
  <si>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</si>
  <si>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</si>
  <si>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</si>
  <si>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</si>
  <si>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</si>
  <si>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</si>
  <si>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</si>
  <si>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</si>
  <si>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</si>
  <si>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</si>
  <si>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</si>
  <si>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</si>
  <si>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</si>
  <si>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</si>
  <si>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</si>
  <si>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</si>
  <si>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</si>
  <si>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</si>
  <si>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</si>
  <si>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</si>
  <si>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</si>
  <si>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</si>
  <si>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</si>
  <si>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</si>
  <si>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</si>
  <si>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</si>
  <si>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</si>
  <si>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</si>
  <si>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</si>
  <si>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</si>
  <si>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</si>
  <si>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</si>
  <si>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</si>
  <si>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</si>
  <si>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</si>
  <si>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</si>
  <si>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</si>
  <si>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</si>
  <si>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</si>
  <si>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</si>
  <si>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</si>
  <si>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</si>
  <si>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</si>
  <si>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</si>
  <si>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</si>
  <si>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</si>
  <si>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</si>
  <si>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</si>
  <si>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</si>
  <si>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</si>
  <si>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</si>
  <si>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</si>
  <si>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</si>
  <si>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</si>
  <si>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</si>
  <si>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</si>
  <si>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</si>
  <si>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</si>
  <si>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</si>
  <si>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</si>
  <si>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</si>
  <si>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</si>
  <si>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</si>
  <si>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</si>
  <si>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</si>
  <si>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</si>
  <si>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</si>
  <si>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</si>
  <si>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</si>
  <si>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</si>
  <si>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</si>
  <si>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</si>
  <si>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</si>
  <si>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</si>
  <si>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</si>
  <si>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</si>
  <si>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</si>
  <si>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</si>
  <si>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</si>
  <si>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</si>
  <si>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</si>
  <si>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</si>
  <si>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</si>
  <si>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</si>
  <si>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</si>
  <si>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</si>
  <si>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</si>
  <si>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</si>
  <si>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</si>
  <si>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</si>
  <si>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</si>
  <si>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</si>
  <si>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</si>
  <si>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</si>
  <si>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</si>
  <si>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</si>
  <si>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</si>
  <si>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</si>
  <si>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</si>
  <si>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</si>
  <si>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</si>
  <si>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</si>
  <si>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</si>
  <si>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</si>
  <si>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</si>
  <si>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</si>
  <si>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</si>
  <si>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</si>
  <si>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</si>
  <si>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</si>
  <si>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</si>
  <si>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</si>
  <si>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</si>
  <si>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</si>
  <si>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</si>
  <si>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</si>
  <si>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</si>
  <si>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</si>
  <si>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</si>
  <si>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</si>
  <si>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</si>
  <si>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</si>
  <si>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</si>
  <si>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</si>
  <si>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</si>
  <si>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</si>
  <si>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</si>
  <si>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</si>
  <si>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</si>
  <si>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</si>
  <si>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</si>
  <si>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</si>
  <si>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</si>
  <si>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</si>
  <si>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</si>
  <si>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</si>
  <si>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</si>
  <si>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</si>
  <si>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</si>
  <si>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</si>
  <si>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</si>
  <si>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</si>
  <si>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</si>
  <si>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</si>
  <si>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</si>
  <si>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</si>
  <si>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</si>
  <si>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</si>
  <si>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</si>
  <si>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</si>
  <si>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</si>
  <si>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</si>
  <si>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</si>
  <si>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</si>
  <si>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</si>
  <si>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</si>
  <si>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</si>
  <si>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</si>
  <si>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</si>
  <si>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</si>
  <si>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</si>
  <si>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</si>
  <si>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</si>
  <si>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</si>
  <si>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</si>
  <si>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</si>
  <si>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</si>
  <si>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</si>
  <si>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</si>
  <si>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</si>
  <si>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</si>
  <si>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</si>
  <si>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</si>
  <si>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</si>
  <si>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</si>
  <si>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</si>
  <si>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</si>
  <si>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</si>
  <si>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</si>
  <si>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</si>
  <si>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</si>
  <si>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</si>
  <si>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</si>
  <si>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</si>
  <si>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</si>
  <si>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</si>
  <si>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</si>
  <si>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</si>
  <si>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</si>
  <si>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</si>
  <si>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</si>
  <si>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</si>
  <si>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</si>
  <si>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</si>
  <si>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</si>
  <si>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</si>
  <si>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</si>
  <si>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</si>
  <si>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</si>
  <si>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</si>
  <si>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</si>
  <si>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</si>
  <si>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</si>
  <si>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</si>
  <si>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</si>
  <si>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</si>
  <si>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</si>
  <si>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</si>
  <si>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</si>
  <si>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</si>
  <si>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</si>
  <si>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</si>
  <si>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</si>
  <si>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</si>
  <si>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</si>
  <si>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</si>
  <si>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</si>
  <si>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</si>
  <si>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</si>
  <si>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</si>
  <si>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</si>
  <si>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</si>
  <si>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</si>
  <si>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</si>
  <si>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</si>
  <si>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</si>
  <si>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</si>
  <si>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</si>
  <si>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</si>
  <si>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</si>
  <si>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</si>
  <si>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</si>
  <si>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</si>
  <si>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</si>
  <si>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</si>
  <si>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</si>
  <si>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</si>
  <si>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</si>
  <si>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</si>
  <si>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</si>
  <si>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</si>
  <si>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</si>
  <si>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</si>
  <si>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</si>
  <si>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</si>
  <si>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</si>
  <si>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</si>
  <si>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</si>
  <si>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</si>
  <si>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</si>
  <si>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</si>
  <si>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</si>
  <si>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</si>
  <si>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</si>
  <si>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</si>
  <si>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</si>
  <si>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</si>
  <si>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</si>
  <si>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</si>
  <si>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</si>
  <si>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</si>
  <si>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</si>
  <si>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</si>
  <si>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</si>
  <si>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</si>
  <si>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</si>
  <si>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</si>
  <si>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</si>
  <si>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</si>
  <si>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</si>
  <si>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</si>
  <si>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</si>
  <si>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</si>
  <si>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</si>
  <si>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</si>
  <si>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</si>
  <si>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</si>
  <si>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</si>
  <si>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</si>
  <si>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</si>
  <si>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</si>
  <si>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</si>
  <si>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</si>
  <si>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</si>
  <si>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</si>
  <si>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</si>
  <si>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</si>
  <si>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</si>
  <si>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</si>
  <si>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</si>
  <si>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</si>
  <si>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</si>
  <si>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</si>
  <si>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</si>
  <si>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</si>
  <si>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</si>
  <si>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</si>
  <si>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</si>
  <si>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</si>
  <si>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</si>
  <si>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</si>
  <si>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</si>
  <si>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</si>
  <si>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</si>
  <si>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</si>
  <si>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</si>
  <si>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</si>
  <si>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</si>
  <si>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</si>
  <si>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</si>
  <si>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</si>
  <si>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</si>
  <si>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</si>
  <si>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</si>
  <si>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</si>
  <si>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</si>
  <si>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</si>
  <si>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</si>
  <si>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</si>
  <si>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</si>
  <si>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</si>
  <si>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</si>
  <si>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</si>
  <si>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</si>
  <si>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</si>
  <si>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</si>
  <si>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</si>
  <si>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</si>
  <si>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</si>
  <si>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</si>
  <si>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</si>
  <si>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</si>
  <si>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</si>
  <si>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</si>
  <si>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</si>
  <si>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</si>
  <si>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</si>
  <si>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</si>
  <si>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</si>
  <si>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</si>
  <si>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</si>
  <si>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</si>
  <si>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</si>
  <si>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</si>
  <si>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</si>
  <si>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</si>
  <si>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</si>
  <si>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</si>
  <si>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</si>
  <si>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</si>
  <si>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</si>
  <si>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</si>
  <si>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</si>
  <si>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</si>
  <si>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</si>
  <si>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</si>
  <si>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</si>
  <si>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</si>
  <si>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</si>
  <si>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</si>
  <si>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</si>
  <si>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</si>
  <si>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</si>
  <si>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</si>
  <si>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</si>
  <si>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</si>
  <si>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</si>
  <si>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</si>
  <si>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</si>
  <si>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</si>
  <si>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</si>
  <si>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</si>
  <si>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</si>
  <si>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</si>
  <si>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</si>
  <si>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</si>
  <si>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</si>
  <si>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</si>
  <si>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</si>
  <si>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</si>
  <si>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</si>
  <si>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</si>
  <si>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</si>
  <si>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</si>
  <si>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</si>
  <si>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</si>
  <si>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</si>
  <si>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</si>
  <si>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</si>
  <si>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</si>
  <si>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</si>
  <si>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</si>
  <si>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</si>
  <si>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</si>
  <si>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</si>
  <si>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</si>
  <si>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</si>
  <si>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</si>
  <si>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</si>
  <si>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</si>
  <si>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</si>
  <si>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</si>
  <si>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</si>
  <si>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</si>
  <si>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</si>
  <si>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</si>
  <si>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</si>
  <si>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</si>
  <si>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</si>
  <si>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</si>
  <si>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</si>
  <si>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</si>
  <si>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</si>
  <si>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</si>
  <si>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</si>
  <si>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</si>
  <si>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</si>
  <si>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</si>
  <si>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</si>
  <si>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</si>
  <si>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</si>
  <si>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</si>
  <si>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</si>
  <si>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</si>
  <si>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</si>
  <si>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</si>
  <si>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</si>
  <si>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</si>
  <si>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</si>
  <si>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</si>
  <si>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</si>
  <si>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</si>
  <si>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</si>
  <si>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</si>
  <si>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</si>
  <si>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</si>
  <si>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</si>
  <si>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</si>
  <si>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</si>
  <si>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</si>
  <si>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</si>
  <si>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</si>
  <si>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</si>
  <si>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</si>
  <si>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</si>
  <si>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</si>
  <si>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</si>
  <si>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</si>
  <si>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</si>
  <si>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</si>
  <si>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</si>
  <si>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</si>
  <si>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</si>
  <si>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</si>
  <si>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</si>
  <si>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</si>
  <si>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</si>
  <si>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</si>
  <si>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</si>
  <si>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</si>
  <si>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</si>
  <si>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</si>
  <si>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</si>
  <si>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</si>
  <si>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</si>
  <si>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</si>
  <si>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</si>
  <si>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</si>
  <si>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</si>
  <si>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</si>
  <si>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</si>
  <si>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</si>
  <si>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</si>
  <si>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</si>
  <si>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</si>
  <si>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</si>
  <si>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</si>
  <si>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</si>
  <si>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</si>
  <si>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</si>
  <si>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</si>
  <si>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</si>
  <si>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</si>
  <si>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</si>
  <si>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</si>
  <si>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</si>
  <si>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</si>
  <si>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</si>
  <si>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</si>
  <si>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</si>
  <si>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</si>
  <si>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</si>
  <si>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</si>
  <si>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</si>
  <si>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</si>
  <si>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</si>
  <si>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</si>
  <si>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</si>
  <si>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</si>
  <si>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</si>
  <si>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</si>
  <si>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</si>
  <si>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</si>
  <si>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</si>
  <si>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</si>
  <si>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</si>
  <si>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</si>
  <si>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</si>
  <si>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</si>
  <si>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</si>
  <si>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</si>
  <si>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</si>
  <si>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</si>
  <si>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</si>
  <si>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</si>
  <si>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</si>
  <si>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</si>
  <si>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</si>
  <si>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</si>
  <si>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</si>
  <si>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</si>
  <si>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</si>
  <si>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</si>
  <si>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</si>
  <si>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</si>
  <si>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</si>
  <si>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</si>
  <si>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</si>
  <si>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</si>
  <si>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</si>
  <si>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</si>
  <si>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</si>
  <si>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</si>
  <si>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</si>
  <si>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</si>
  <si>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</si>
  <si>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</si>
  <si>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</si>
  <si>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</si>
  <si>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</si>
  <si>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</si>
  <si>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</si>
  <si>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</si>
  <si>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</si>
  <si>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</si>
  <si>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</si>
  <si>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</si>
  <si>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</si>
  <si>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</si>
  <si>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</si>
  <si>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</si>
  <si>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</si>
  <si>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</si>
  <si>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</si>
  <si>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</si>
  <si>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</si>
  <si>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</si>
  <si>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</si>
  <si>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</si>
  <si>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</si>
  <si>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</si>
  <si>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</si>
  <si>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</si>
  <si>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</si>
  <si>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</si>
  <si>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</si>
  <si>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</si>
  <si>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</si>
  <si>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</si>
  <si>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</si>
  <si>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</si>
  <si>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</si>
  <si>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</si>
  <si>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</si>
  <si>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</si>
  <si>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</si>
  <si>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</si>
  <si>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</si>
  <si>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</si>
  <si>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</si>
  <si>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</si>
  <si>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</si>
  <si>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</si>
  <si>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</si>
  <si>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</si>
  <si>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</si>
  <si>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</si>
  <si>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</si>
  <si>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</si>
  <si>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</si>
  <si>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</si>
  <si>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</si>
  <si>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</si>
  <si>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</si>
  <si>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</si>
  <si>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</si>
  <si>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</si>
  <si>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</si>
  <si>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</si>
  <si>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</si>
  <si>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</si>
  <si>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</si>
  <si>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</si>
  <si>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</si>
  <si>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</si>
  <si>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</si>
  <si>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</si>
  <si>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</si>
  <si>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</si>
  <si>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</si>
  <si>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</si>
  <si>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</si>
  <si>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</si>
  <si>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</si>
  <si>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</si>
  <si>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</si>
  <si>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</si>
  <si>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</si>
  <si>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</si>
  <si>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</si>
  <si>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</si>
  <si>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</si>
  <si>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</si>
  <si>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</si>
  <si>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</si>
  <si>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</si>
  <si>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</si>
  <si>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</si>
  <si>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</si>
  <si>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</si>
  <si>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</si>
  <si>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</si>
  <si>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</si>
  <si>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</si>
  <si>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</si>
  <si>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</si>
  <si>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</si>
  <si>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</si>
  <si>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</si>
  <si>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</si>
  <si>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</si>
  <si>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</si>
  <si>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</si>
  <si>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</si>
  <si>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</si>
  <si>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</si>
  <si>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</si>
  <si>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</si>
  <si>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</si>
  <si>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</si>
  <si>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</si>
  <si>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</si>
  <si>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</si>
  <si>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</si>
  <si>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</si>
  <si>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</si>
  <si>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</si>
  <si>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</si>
  <si>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</si>
  <si>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</si>
  <si>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</si>
  <si>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</si>
  <si>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</si>
  <si>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</si>
  <si>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</si>
  <si>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</si>
  <si>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</si>
  <si>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</si>
  <si>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</si>
  <si>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</si>
  <si>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</si>
  <si>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</si>
  <si>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</si>
  <si>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</si>
  <si>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</si>
  <si>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</si>
  <si>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</si>
  <si>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</si>
  <si>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</si>
  <si>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</si>
  <si>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</si>
  <si>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</si>
  <si>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</si>
  <si>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</si>
  <si>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</si>
  <si>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</si>
  <si>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</si>
  <si>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</si>
  <si>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</si>
  <si>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</si>
  <si>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</si>
  <si>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</si>
  <si>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</si>
  <si>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</si>
  <si>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</si>
  <si>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</si>
  <si>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</si>
  <si>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</si>
  <si>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</si>
  <si>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</si>
  <si>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</si>
  <si>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</si>
  <si>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</si>
  <si>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</si>
  <si>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</si>
  <si>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</si>
  <si>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</si>
  <si>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</si>
  <si>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</si>
  <si>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</si>
  <si>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</si>
  <si>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</si>
  <si>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</si>
  <si>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</si>
  <si>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</si>
  <si>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</si>
  <si>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</si>
  <si>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</si>
  <si>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</si>
  <si>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</si>
  <si>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</si>
  <si>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</si>
  <si>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</si>
  <si>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</si>
  <si>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</si>
  <si>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</si>
  <si>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</si>
  <si>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</si>
  <si>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</si>
  <si>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</si>
  <si>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</si>
  <si>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</si>
  <si>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</si>
  <si>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</si>
  <si>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</si>
  <si>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</si>
  <si>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</si>
  <si>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</si>
  <si>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</si>
  <si>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</si>
  <si>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</si>
  <si>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</si>
  <si>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</si>
  <si>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</si>
  <si>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</si>
  <si>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</si>
  <si>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</si>
  <si>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</si>
  <si>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Cleaned name</t>
  </si>
  <si>
    <t>Sum of age</t>
  </si>
  <si>
    <t>Minimum of age</t>
  </si>
  <si>
    <t>Maximum of age</t>
  </si>
  <si>
    <t>Count Sum</t>
  </si>
  <si>
    <t>Average age</t>
  </si>
  <si>
    <t>Row Labels</t>
  </si>
  <si>
    <t>Grand Total</t>
  </si>
  <si>
    <t>Sum of Age</t>
  </si>
  <si>
    <t>Brittany Edwards Dds</t>
  </si>
  <si>
    <t>Tammy Miller Md</t>
  </si>
  <si>
    <t>Melissa Duffy Md</t>
  </si>
  <si>
    <t>Charles Norman Phd</t>
  </si>
  <si>
    <t>Dr. Benjamin Price</t>
  </si>
  <si>
    <t>Justin Mason Dds</t>
  </si>
  <si>
    <t>Michelle Garcia Dds</t>
  </si>
  <si>
    <t>Chase Williams Md</t>
  </si>
  <si>
    <t>Jeremy Harris</t>
  </si>
  <si>
    <t>Joshua Smith Dvm</t>
  </si>
  <si>
    <t>Dr. Tamara White Md</t>
  </si>
  <si>
    <t>Christopher Garcia Dds</t>
  </si>
  <si>
    <t>Dr. Ashley Yates Md</t>
  </si>
  <si>
    <t>Jordan Jackson Dds</t>
  </si>
  <si>
    <t>Daisy Johnson Dds</t>
  </si>
  <si>
    <t>Miss Alexandria Li Dvm</t>
  </si>
  <si>
    <t>Alex Mann Ii</t>
  </si>
  <si>
    <t>Robert Jones Dds</t>
  </si>
  <si>
    <t>Earl Smith Dds</t>
  </si>
  <si>
    <t>Paul Fox</t>
  </si>
  <si>
    <t>Laura Green</t>
  </si>
  <si>
    <t>Sheena Bonilla</t>
  </si>
  <si>
    <t>Mean</t>
  </si>
  <si>
    <t>Median</t>
  </si>
  <si>
    <t>Mode</t>
  </si>
  <si>
    <t>Count</t>
  </si>
  <si>
    <t>Sum</t>
  </si>
  <si>
    <t>Maximum</t>
  </si>
  <si>
    <t>Minimum</t>
  </si>
  <si>
    <t>Range</t>
  </si>
  <si>
    <t>Skewness</t>
  </si>
  <si>
    <t>Kurtosis</t>
  </si>
  <si>
    <t>Sample Variance</t>
  </si>
  <si>
    <t>Standard Deviation</t>
  </si>
  <si>
    <t>Standard Error</t>
  </si>
  <si>
    <t>Unknown</t>
  </si>
  <si>
    <t>ID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</si>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</sst>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3" borderId="4" xfId="0" applyFill="1" applyBorder="1"/>
    <xf numFmtId="0" fontId="0" fillId="4" borderId="4" xfId="0" applyFill="1" applyBorder="1"/>
    <xf numFmtId="0" fontId="0" fillId="4" borderId="5" xfId="0" applyFill="1" applyBorder="1"/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Customer Age Validation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Customer_Dim!$M$2:$Q$2</c:f>
              <c:numCache>
                <c:formatCode>General</c:formatCode>
                <c:ptCount val="5"/>
                <c:pt idx="0">
                  <c:v>20781</c:v>
                </c:pt>
                <c:pt idx="1">
                  <c:v>18</c:v>
                </c:pt>
                <c:pt idx="2">
                  <c:v>64</c:v>
                </c:pt>
                <c:pt idx="3">
                  <c:v>500</c:v>
                </c:pt>
                <c:pt idx="4">
                  <c:v>41.561999999999998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8-4580-ACEA-55466FA12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063967"/>
        <c:axId val="338074527"/>
      </c:barChart>
      <c:catAx>
        <c:axId val="33806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74527"/>
        <c:crosses val="autoZero"/>
        <c:auto val="1"/>
        <c:lblAlgn val="ctr"/>
        <c:lblOffset val="100"/>
        <c:noMultiLvlLbl val="0"/>
      </c:catAx>
      <c:valAx>
        <c:axId val="33807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63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7</xdr:row>
      <xdr:rowOff>161925</xdr:rowOff>
    </xdr:from>
    <xdr:to>
      <xdr:col>16</xdr:col>
      <xdr:colOff>390525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758F9-281A-FAE8-2D08-E33CA82DE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tham panneerselvam" refreshedDate="46068.121529745367" createdVersion="8" refreshedVersion="8" minRefreshableVersion="3" recordCount="500" xr:uid="{56366542-0DF7-45D0-9E68-596FFE84B734}">
  <cacheSource type="worksheet">
    <worksheetSource ref="A1:K501" sheet="Customer_Dim"/>
  </cacheSource>
  <cacheFields count="11">
    <cacheField name="Customer_ID" numFmtId="0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-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-1486"/>
        <s v="CUST1487"/>
        <s v="CUST1488"/>
        <s v="CUST1489"/>
        <s v="CUST1490"/>
        <s v="C-1491"/>
        <s v="CUST1492"/>
        <s v="CUST1493"/>
        <s v="CUST1494"/>
        <s v="CUST1495"/>
        <s v="CUST1496"/>
        <s v="CUST1497"/>
        <s v="CUST1498"/>
        <s v="C-1499"/>
      </sharedItems>
    </cacheField>
    <cacheField name="Name" numFmtId="0">
      <sharedItems count="498">
        <s v="  sheena bonilla  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   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   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  <s v="Philip Pennington"/>
      </sharedItems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 containsBlank="1"/>
    </cacheField>
    <cacheField name="Loyalty_Level2" numFmtId="0">
      <sharedItems/>
    </cacheField>
    <cacheField name="Name2" numFmtId="0">
      <sharedItems/>
    </cacheField>
    <cacheField name="Cleaned name" numFmtId="0">
      <sharedItems count="498">
        <s v="Sheena Bonilla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  <s v="Philip Penningt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55"/>
    <x v="0"/>
    <s v="Donaldton"/>
    <s v="North Carolina"/>
    <s v="USA"/>
    <m/>
    <s v="Unknown"/>
    <s v="  Sheena Bonilla  "/>
    <x v="0"/>
  </r>
  <r>
    <x v="1"/>
    <x v="1"/>
    <n v="26"/>
    <x v="1"/>
    <s v="Phillipsmouth"/>
    <s v="North Dakota"/>
    <s v="USA"/>
    <s v="Platinum"/>
    <s v="Platinum"/>
    <s v="Eugene Nelson"/>
    <x v="1"/>
  </r>
  <r>
    <x v="2"/>
    <x v="2"/>
    <n v="29"/>
    <x v="1"/>
    <s v="Kylebury"/>
    <s v="Alabama"/>
    <s v="USA"/>
    <s v="Platinum"/>
    <s v="Platinum"/>
    <s v="Dr. Benjamin Price"/>
    <x v="2"/>
  </r>
  <r>
    <x v="3"/>
    <x v="3"/>
    <n v="59"/>
    <x v="1"/>
    <s v="Thomastown"/>
    <s v="Ohio"/>
    <s v="USA"/>
    <s v="Bronze"/>
    <s v="Bronze"/>
    <s v="Jeremy Harris"/>
    <x v="3"/>
  </r>
  <r>
    <x v="4"/>
    <x v="4"/>
    <n v="64"/>
    <x v="1"/>
    <s v="Nicholasshire"/>
    <s v="California"/>
    <s v="USA"/>
    <s v="Silver"/>
    <s v="Silver"/>
    <s v="Caroline Collins"/>
    <x v="4"/>
  </r>
  <r>
    <x v="5"/>
    <x v="5"/>
    <n v="24"/>
    <x v="0"/>
    <s v="East Amandamouth"/>
    <s v="Oregon"/>
    <s v="USA"/>
    <s v="Bronze"/>
    <s v="Bronze"/>
    <s v="Christine Vaughn"/>
    <x v="5"/>
  </r>
  <r>
    <x v="6"/>
    <x v="6"/>
    <n v="29"/>
    <x v="1"/>
    <s v="Deborahborough"/>
    <s v="South Dakota"/>
    <s v="USA"/>
    <s v="Platinum"/>
    <s v="Platinum"/>
    <s v="Amber Jackson"/>
    <x v="6"/>
  </r>
  <r>
    <x v="7"/>
    <x v="7"/>
    <n v="29"/>
    <x v="1"/>
    <s v="West Pamelafurt"/>
    <s v="West Virginia"/>
    <s v="USA"/>
    <s v="Bronze"/>
    <s v="Bronze"/>
    <s v="Daniel Boyd"/>
    <x v="7"/>
  </r>
  <r>
    <x v="8"/>
    <x v="8"/>
    <n v="53"/>
    <x v="1"/>
    <s v="Maynardton"/>
    <s v="New Hampshire"/>
    <s v="USA"/>
    <s v="Gold"/>
    <s v="Gold"/>
    <s v="Melissa Howard"/>
    <x v="8"/>
  </r>
  <r>
    <x v="9"/>
    <x v="9"/>
    <n v="64"/>
    <x v="0"/>
    <s v="Melissashire"/>
    <s v="Pennsylvania"/>
    <s v="USA"/>
    <s v="Platinum"/>
    <s v="Platinum"/>
    <s v="Ms. Maria Leach"/>
    <x v="9"/>
  </r>
  <r>
    <x v="10"/>
    <x v="10"/>
    <n v="53"/>
    <x v="0"/>
    <s v="Port Michaelburgh"/>
    <s v="Pennsylvania"/>
    <s v="USA"/>
    <s v="Bronze"/>
    <s v="Bronze"/>
    <s v="Dominic Page"/>
    <x v="10"/>
  </r>
  <r>
    <x v="11"/>
    <x v="11"/>
    <n v="28"/>
    <x v="1"/>
    <s v="East Krista"/>
    <s v="New York"/>
    <s v="USA"/>
    <s v="Gold"/>
    <s v="Gold"/>
    <s v="Brian Lopez"/>
    <x v="11"/>
  </r>
  <r>
    <x v="12"/>
    <x v="12"/>
    <n v="55"/>
    <x v="1"/>
    <s v="North Kathryn"/>
    <s v="Kansas"/>
    <s v="USA"/>
    <s v="Platinum"/>
    <s v="Platinum"/>
    <s v="Kenneth Lambert"/>
    <x v="12"/>
  </r>
  <r>
    <x v="13"/>
    <x v="13"/>
    <n v="32"/>
    <x v="1"/>
    <s v="New Becky"/>
    <s v="Montana"/>
    <s v="USA"/>
    <s v="Silver"/>
    <s v="Silver"/>
    <s v="Nathan Hernandez"/>
    <x v="13"/>
  </r>
  <r>
    <x v="14"/>
    <x v="14"/>
    <n v="53"/>
    <x v="1"/>
    <s v="Lake Kristamouth"/>
    <s v="Nebraska"/>
    <s v="USA"/>
    <s v="Silver"/>
    <s v="Silver"/>
    <s v="Ashley Cohen"/>
    <x v="14"/>
  </r>
  <r>
    <x v="15"/>
    <x v="15"/>
    <n v="49"/>
    <x v="1"/>
    <s v="Lawsonhaven"/>
    <s v="Washington"/>
    <s v="USA"/>
    <s v="Platinum"/>
    <s v="Platinum"/>
    <s v="Laura Alvarez"/>
    <x v="15"/>
  </r>
  <r>
    <x v="16"/>
    <x v="16"/>
    <n v="24"/>
    <x v="1"/>
    <s v="South Christopher"/>
    <s v="Pennsylvania"/>
    <s v="USA"/>
    <s v="Bronze"/>
    <s v="Bronze"/>
    <s v="John Scott"/>
    <x v="16"/>
  </r>
  <r>
    <x v="17"/>
    <x v="17"/>
    <n v="60"/>
    <x v="1"/>
    <s v="Brandonville"/>
    <s v="Georgia"/>
    <s v="USA"/>
    <s v="Platinum"/>
    <s v="Platinum"/>
    <s v="Adam Cruz"/>
    <x v="17"/>
  </r>
  <r>
    <x v="18"/>
    <x v="18"/>
    <n v="43"/>
    <x v="0"/>
    <s v="South William"/>
    <s v="Kansas"/>
    <s v="USA"/>
    <m/>
    <s v="Unknown"/>
    <s v="Rhonda Moss"/>
    <x v="18"/>
  </r>
  <r>
    <x v="19"/>
    <x v="19"/>
    <n v="46"/>
    <x v="1"/>
    <s v="Gonzalezfort"/>
    <s v="New Jersey"/>
    <s v="USA"/>
    <s v="Platinum"/>
    <s v="Platinum"/>
    <s v="Michael Torres"/>
    <x v="19"/>
  </r>
  <r>
    <x v="20"/>
    <x v="20"/>
    <n v="59"/>
    <x v="0"/>
    <s v="Lake Shaneburgh"/>
    <s v="Delaware"/>
    <s v="USA"/>
    <s v="Silver"/>
    <s v="Silver"/>
    <s v="Bridget Allen"/>
    <x v="20"/>
  </r>
  <r>
    <x v="21"/>
    <x v="21"/>
    <n v="36"/>
    <x v="1"/>
    <s v="Smithburgh"/>
    <s v="Oklahoma"/>
    <s v="USA"/>
    <s v="Gold"/>
    <s v="Gold"/>
    <s v="Jeff Martinez"/>
    <x v="21"/>
  </r>
  <r>
    <x v="22"/>
    <x v="22"/>
    <n v="33"/>
    <x v="1"/>
    <s v="Michaelton"/>
    <s v="Hawaii"/>
    <s v="USA"/>
    <s v="Silver"/>
    <s v="Silver"/>
    <s v="   Paul Fox"/>
    <x v="22"/>
  </r>
  <r>
    <x v="23"/>
    <x v="23"/>
    <n v="52"/>
    <x v="1"/>
    <s v="Molinabury"/>
    <s v="Oregon"/>
    <s v="USA"/>
    <s v="Silver"/>
    <s v="Silver"/>
    <s v="Jonathan Steele"/>
    <x v="23"/>
  </r>
  <r>
    <x v="24"/>
    <x v="24"/>
    <n v="40"/>
    <x v="0"/>
    <s v="Rogerschester"/>
    <s v="Idaho"/>
    <s v="USA"/>
    <s v="Platinum"/>
    <s v="Platinum"/>
    <s v="Heather Collins"/>
    <x v="24"/>
  </r>
  <r>
    <x v="25"/>
    <x v="25"/>
    <n v="59"/>
    <x v="1"/>
    <s v="Vasqueztown"/>
    <s v="California"/>
    <s v="USA"/>
    <s v="Bronze"/>
    <s v="Bronze"/>
    <s v="Diana Taylor"/>
    <x v="25"/>
  </r>
  <r>
    <x v="26"/>
    <x v="26"/>
    <n v="18"/>
    <x v="1"/>
    <s v="East Michellemouth"/>
    <s v="Missouri"/>
    <s v="USA"/>
    <s v="Gold"/>
    <s v="Gold"/>
    <s v="Amber Carlson"/>
    <x v="26"/>
  </r>
  <r>
    <x v="27"/>
    <x v="27"/>
    <n v="31"/>
    <x v="0"/>
    <s v="Mollyshire"/>
    <s v="Utah"/>
    <s v="USA"/>
    <m/>
    <s v="Unknown"/>
    <s v="Leslie Johnson"/>
    <x v="27"/>
  </r>
  <r>
    <x v="28"/>
    <x v="28"/>
    <n v="27"/>
    <x v="1"/>
    <s v="New David"/>
    <s v="New Jersey"/>
    <s v="USA"/>
    <s v="Platinum"/>
    <s v="Platinum"/>
    <s v="Joshua Ryan"/>
    <x v="28"/>
  </r>
  <r>
    <x v="29"/>
    <x v="29"/>
    <n v="54"/>
    <x v="1"/>
    <s v="East Jennifer"/>
    <s v="California"/>
    <s v="USA"/>
    <s v="Silver"/>
    <s v="Silver"/>
    <s v="David Arnold"/>
    <x v="29"/>
  </r>
  <r>
    <x v="30"/>
    <x v="30"/>
    <n v="64"/>
    <x v="1"/>
    <s v="Amybury"/>
    <s v="Pennsylvania"/>
    <s v="USA"/>
    <s v="Bronze"/>
    <s v="Bronze"/>
    <s v="Jessica Acevedo"/>
    <x v="30"/>
  </r>
  <r>
    <x v="31"/>
    <x v="31"/>
    <n v="41"/>
    <x v="0"/>
    <s v="Johnsonville"/>
    <s v="Oregon"/>
    <s v="USA"/>
    <s v="Silver"/>
    <s v="Silver"/>
    <s v="Sarah Vance"/>
    <x v="31"/>
  </r>
  <r>
    <x v="32"/>
    <x v="32"/>
    <n v="48"/>
    <x v="1"/>
    <s v="Fostermouth"/>
    <s v="Arizona"/>
    <s v="USA"/>
    <s v="Gold"/>
    <s v="Gold"/>
    <s v="Mike Jennings"/>
    <x v="32"/>
  </r>
  <r>
    <x v="33"/>
    <x v="33"/>
    <n v="25"/>
    <x v="0"/>
    <s v="Tristanton"/>
    <s v="Oklahoma"/>
    <s v="USA"/>
    <s v="Platinum"/>
    <s v="Platinum"/>
    <s v="Robert Jones Dds"/>
    <x v="33"/>
  </r>
  <r>
    <x v="34"/>
    <x v="34"/>
    <n v="27"/>
    <x v="1"/>
    <s v="West Richard"/>
    <s v="Maryland"/>
    <s v="USA"/>
    <s v="Platinum"/>
    <s v="Platinum"/>
    <s v="Christopher Olson"/>
    <x v="34"/>
  </r>
  <r>
    <x v="35"/>
    <x v="35"/>
    <n v="52"/>
    <x v="0"/>
    <s v="Robertberg"/>
    <s v="North Dakota"/>
    <s v="USA"/>
    <s v="Silver"/>
    <s v="Silver"/>
    <s v="Rachel Myers"/>
    <x v="35"/>
  </r>
  <r>
    <x v="36"/>
    <x v="36"/>
    <n v="20"/>
    <x v="1"/>
    <s v="Luisfurt"/>
    <s v="Georgia"/>
    <s v="USA"/>
    <s v="Gold"/>
    <s v="Gold"/>
    <s v="Thomas Phillips"/>
    <x v="36"/>
  </r>
  <r>
    <x v="37"/>
    <x v="37"/>
    <n v="27"/>
    <x v="1"/>
    <s v="Brendastad"/>
    <s v="South Dakota"/>
    <s v="USA"/>
    <m/>
    <s v="Unknown"/>
    <s v="Christopher Carter"/>
    <x v="37"/>
  </r>
  <r>
    <x v="38"/>
    <x v="38"/>
    <n v="35"/>
    <x v="1"/>
    <s v="Brownport"/>
    <s v="North Dakota"/>
    <s v="USA"/>
    <s v="Bronze"/>
    <s v="Bronze"/>
    <s v="Deanna Simpson"/>
    <x v="38"/>
  </r>
  <r>
    <x v="39"/>
    <x v="39"/>
    <n v="55"/>
    <x v="1"/>
    <s v="Darleneton"/>
    <s v="Michigan"/>
    <s v="USA"/>
    <s v="Gold"/>
    <s v="Gold"/>
    <s v="Tonya Reynolds"/>
    <x v="39"/>
  </r>
  <r>
    <x v="40"/>
    <x v="40"/>
    <n v="50"/>
    <x v="0"/>
    <s v="Williamsonland"/>
    <s v="Kansas"/>
    <s v="USA"/>
    <s v="Gold"/>
    <s v="Gold"/>
    <s v="Eric Vega"/>
    <x v="40"/>
  </r>
  <r>
    <x v="41"/>
    <x v="41"/>
    <n v="21"/>
    <x v="0"/>
    <s v="Mooneyshire"/>
    <s v="Alaska"/>
    <s v="USA"/>
    <s v="Platinum"/>
    <s v="Platinum"/>
    <s v="James Gibbs"/>
    <x v="41"/>
  </r>
  <r>
    <x v="42"/>
    <x v="42"/>
    <n v="19"/>
    <x v="0"/>
    <s v="Ryanburgh"/>
    <s v="Connecticut"/>
    <s v="USA"/>
    <s v="Platinum"/>
    <s v="Platinum"/>
    <s v="William Martin"/>
    <x v="42"/>
  </r>
  <r>
    <x v="43"/>
    <x v="43"/>
    <n v="45"/>
    <x v="0"/>
    <s v="South Michaelfort"/>
    <s v="Vermont"/>
    <s v="USA"/>
    <s v="Gold"/>
    <s v="Gold"/>
    <s v="Joseph Snow"/>
    <x v="43"/>
  </r>
  <r>
    <x v="44"/>
    <x v="44"/>
    <n v="34"/>
    <x v="0"/>
    <s v="Christianstad"/>
    <s v="Hawaii"/>
    <s v="USA"/>
    <s v="Bronze"/>
    <s v="Bronze"/>
    <s v="Denise Williams"/>
    <x v="44"/>
  </r>
  <r>
    <x v="45"/>
    <x v="45"/>
    <n v="54"/>
    <x v="0"/>
    <s v="North Johnview"/>
    <s v="Arizona"/>
    <s v="USA"/>
    <s v="Gold"/>
    <s v="Gold"/>
    <s v="Jordan Jackson Dds"/>
    <x v="45"/>
  </r>
  <r>
    <x v="46"/>
    <x v="46"/>
    <n v="55"/>
    <x v="1"/>
    <s v="Perezbury"/>
    <s v="Ohio"/>
    <s v="USA"/>
    <s v="Platinum"/>
    <s v="Platinum"/>
    <s v="Michelle Garcia Dds"/>
    <x v="46"/>
  </r>
  <r>
    <x v="47"/>
    <x v="47"/>
    <n v="54"/>
    <x v="1"/>
    <s v="Lake Roberthaven"/>
    <s v="Nevada"/>
    <s v="USA"/>
    <s v="Silver"/>
    <s v="Silver"/>
    <s v="Gina Knight"/>
    <x v="47"/>
  </r>
  <r>
    <x v="48"/>
    <x v="48"/>
    <n v="54"/>
    <x v="0"/>
    <s v="Dawsonbury"/>
    <s v="North Carolina"/>
    <s v="USA"/>
    <s v="Platinum"/>
    <s v="Platinum"/>
    <s v="April Mullins"/>
    <x v="48"/>
  </r>
  <r>
    <x v="49"/>
    <x v="49"/>
    <n v="45"/>
    <x v="1"/>
    <s v="New Amy"/>
    <s v="Ohio"/>
    <s v="USA"/>
    <s v="Gold"/>
    <s v="Gold"/>
    <s v="Timothy Weaver"/>
    <x v="49"/>
  </r>
  <r>
    <x v="50"/>
    <x v="50"/>
    <n v="61"/>
    <x v="1"/>
    <s v="Gregoryview"/>
    <s v="Illinois"/>
    <s v="USA"/>
    <s v="Gold"/>
    <s v="Gold"/>
    <s v="Matthew Hunter Jr."/>
    <x v="50"/>
  </r>
  <r>
    <x v="51"/>
    <x v="51"/>
    <n v="23"/>
    <x v="1"/>
    <s v="New Julia"/>
    <s v="West Virginia"/>
    <s v="USA"/>
    <s v="Gold"/>
    <s v="Gold"/>
    <s v="Sarah Rodgers"/>
    <x v="51"/>
  </r>
  <r>
    <x v="52"/>
    <x v="52"/>
    <n v="55"/>
    <x v="0"/>
    <s v="South Timtown"/>
    <s v="Minnesota"/>
    <s v="USA"/>
    <s v="Bronze"/>
    <s v="Bronze"/>
    <s v="Debra Liu"/>
    <x v="52"/>
  </r>
  <r>
    <x v="53"/>
    <x v="53"/>
    <n v="37"/>
    <x v="1"/>
    <s v="East Andrea"/>
    <s v="Michigan"/>
    <s v="USA"/>
    <s v="Gold"/>
    <s v="Gold"/>
    <s v="Sharon Brown"/>
    <x v="53"/>
  </r>
  <r>
    <x v="54"/>
    <x v="54"/>
    <n v="24"/>
    <x v="0"/>
    <s v="Christopherland"/>
    <s v="Oklahoma"/>
    <s v="USA"/>
    <s v="Platinum"/>
    <s v="Platinum"/>
    <s v="Katherine Dorsey"/>
    <x v="54"/>
  </r>
  <r>
    <x v="55"/>
    <x v="55"/>
    <n v="56"/>
    <x v="1"/>
    <s v="Edwardsfort"/>
    <s v="Minnesota"/>
    <s v="USA"/>
    <s v="Bronze"/>
    <s v="Bronze"/>
    <s v="Wayne Mcpherson"/>
    <x v="55"/>
  </r>
  <r>
    <x v="56"/>
    <x v="56"/>
    <n v="49"/>
    <x v="1"/>
    <s v="Deborahberg"/>
    <s v="Pennsylvania"/>
    <s v="USA"/>
    <s v="Gold"/>
    <s v="Gold"/>
    <s v="Christopher Sutton"/>
    <x v="56"/>
  </r>
  <r>
    <x v="57"/>
    <x v="57"/>
    <n v="43"/>
    <x v="1"/>
    <s v="Morrisbury"/>
    <s v="Rhode Island"/>
    <s v="USA"/>
    <s v="Platinum"/>
    <s v="Platinum"/>
    <s v="Jay Patel"/>
    <x v="57"/>
  </r>
  <r>
    <x v="58"/>
    <x v="58"/>
    <n v="51"/>
    <x v="0"/>
    <s v="Snowmouth"/>
    <s v="Maryland"/>
    <s v="USA"/>
    <s v="Platinum"/>
    <s v="Platinum"/>
    <s v="Cheryl Copeland"/>
    <x v="58"/>
  </r>
  <r>
    <x v="59"/>
    <x v="59"/>
    <n v="53"/>
    <x v="0"/>
    <s v="New Kathrynland"/>
    <s v="Montana"/>
    <s v="USA"/>
    <s v="Platinum"/>
    <s v="Platinum"/>
    <s v="Alyssa Vargas"/>
    <x v="59"/>
  </r>
  <r>
    <x v="60"/>
    <x v="60"/>
    <n v="22"/>
    <x v="1"/>
    <s v="Schmidtchester"/>
    <s v="Alaska"/>
    <s v="USA"/>
    <s v="Silver"/>
    <s v="Silver"/>
    <s v="Dr. David Smith"/>
    <x v="60"/>
  </r>
  <r>
    <x v="61"/>
    <x v="61"/>
    <n v="23"/>
    <x v="0"/>
    <s v="Jennifermouth"/>
    <s v="Missouri"/>
    <s v="USA"/>
    <s v="Silver"/>
    <s v="Silver"/>
    <s v="Kristin Stein"/>
    <x v="61"/>
  </r>
  <r>
    <x v="62"/>
    <x v="62"/>
    <n v="50"/>
    <x v="0"/>
    <s v="Stevensonton"/>
    <s v="New Mexico"/>
    <s v="USA"/>
    <s v="Bronze"/>
    <s v="Bronze"/>
    <s v="James Bean"/>
    <x v="62"/>
  </r>
  <r>
    <x v="63"/>
    <x v="63"/>
    <n v="51"/>
    <x v="0"/>
    <s v="New Jesse"/>
    <s v="Tennessee"/>
    <s v="USA"/>
    <s v="Platinum"/>
    <s v="Platinum"/>
    <s v="Michael Daniel"/>
    <x v="63"/>
  </r>
  <r>
    <x v="64"/>
    <x v="64"/>
    <n v="33"/>
    <x v="0"/>
    <s v="Port Kathrynhaven"/>
    <s v="Arizona"/>
    <s v="USA"/>
    <s v="Gold"/>
    <s v="Gold"/>
    <s v="Mr. Mason Butler"/>
    <x v="64"/>
  </r>
  <r>
    <x v="65"/>
    <x v="65"/>
    <n v="21"/>
    <x v="1"/>
    <s v="Woodmouth"/>
    <s v="Nevada"/>
    <s v="USA"/>
    <s v="Silver"/>
    <s v="Silver"/>
    <s v="Michael Thomas"/>
    <x v="65"/>
  </r>
  <r>
    <x v="66"/>
    <x v="66"/>
    <n v="27"/>
    <x v="1"/>
    <s v="South Aaronside"/>
    <s v="New Hampshire"/>
    <s v="USA"/>
    <s v="Silver"/>
    <s v="Silver"/>
    <s v="Cody Diaz"/>
    <x v="66"/>
  </r>
  <r>
    <x v="67"/>
    <x v="67"/>
    <n v="58"/>
    <x v="0"/>
    <s v="Brendaburgh"/>
    <s v="Florida"/>
    <s v="USA"/>
    <s v="Silver"/>
    <s v="Silver"/>
    <s v="Amber Mcclain"/>
    <x v="67"/>
  </r>
  <r>
    <x v="68"/>
    <x v="68"/>
    <n v="24"/>
    <x v="1"/>
    <s v="West Johnchester"/>
    <s v="Indiana"/>
    <s v="USA"/>
    <s v="Silver"/>
    <s v="Silver"/>
    <s v="Mr. Mark Beasley"/>
    <x v="68"/>
  </r>
  <r>
    <x v="69"/>
    <x v="69"/>
    <n v="24"/>
    <x v="1"/>
    <s v="North Cynthiatown"/>
    <s v="New Jersey"/>
    <s v="USA"/>
    <s v="Platinum"/>
    <s v="Platinum"/>
    <s v="Roy Cole"/>
    <x v="69"/>
  </r>
  <r>
    <x v="70"/>
    <x v="70"/>
    <n v="29"/>
    <x v="1"/>
    <s v="Port Lisa"/>
    <s v="New Mexico"/>
    <s v="USA"/>
    <s v="Gold"/>
    <s v="Gold"/>
    <s v="Eric Singh"/>
    <x v="70"/>
  </r>
  <r>
    <x v="71"/>
    <x v="71"/>
    <n v="61"/>
    <x v="1"/>
    <s v="South Shaun"/>
    <s v="New Mexico"/>
    <s v="USA"/>
    <s v="Gold"/>
    <s v="Gold"/>
    <s v="Andrea Perez"/>
    <x v="71"/>
  </r>
  <r>
    <x v="72"/>
    <x v="72"/>
    <n v="39"/>
    <x v="1"/>
    <s v="Olsonhaven"/>
    <s v="Iowa"/>
    <s v="USA"/>
    <s v="Gold"/>
    <s v="Gold"/>
    <s v="Tonya Burch"/>
    <x v="72"/>
  </r>
  <r>
    <x v="73"/>
    <x v="73"/>
    <n v="56"/>
    <x v="1"/>
    <s v="Sandrastad"/>
    <s v="West Virginia"/>
    <s v="USA"/>
    <s v="Silver"/>
    <s v="Silver"/>
    <s v="Christopher Brown"/>
    <x v="73"/>
  </r>
  <r>
    <x v="74"/>
    <x v="74"/>
    <n v="58"/>
    <x v="0"/>
    <s v="Longport"/>
    <s v="Colorado"/>
    <s v="USA"/>
    <s v="Bronze"/>
    <s v="Bronze"/>
    <s v="John Mayer"/>
    <x v="74"/>
  </r>
  <r>
    <x v="75"/>
    <x v="75"/>
    <n v="61"/>
    <x v="1"/>
    <s v="Lake Barryfurt"/>
    <s v="California"/>
    <s v="USA"/>
    <s v="Gold"/>
    <s v="Gold"/>
    <s v="Rhonda Morales"/>
    <x v="75"/>
  </r>
  <r>
    <x v="76"/>
    <x v="76"/>
    <n v="37"/>
    <x v="0"/>
    <s v="Rodrigueztown"/>
    <s v="Oklahoma"/>
    <s v="USA"/>
    <s v="Gold"/>
    <s v="Gold"/>
    <s v="Nathan Campbell"/>
    <x v="76"/>
  </r>
  <r>
    <x v="77"/>
    <x v="77"/>
    <n v="29"/>
    <x v="0"/>
    <s v="North Valeriemouth"/>
    <s v="Vermont"/>
    <s v="USA"/>
    <s v="Gold"/>
    <s v="Gold"/>
    <s v="Katherine Young"/>
    <x v="77"/>
  </r>
  <r>
    <x v="78"/>
    <x v="78"/>
    <n v="21"/>
    <x v="0"/>
    <s v="North Scottport"/>
    <s v="Virginia"/>
    <s v="USA"/>
    <s v="Gold"/>
    <s v="Gold"/>
    <s v="Cody Blake"/>
    <x v="78"/>
  </r>
  <r>
    <x v="79"/>
    <x v="79"/>
    <n v="22"/>
    <x v="1"/>
    <s v="Nicoleborough"/>
    <s v="Arkansas"/>
    <s v="USA"/>
    <s v="Platinum"/>
    <s v="Platinum"/>
    <s v="Molly Gardner"/>
    <x v="79"/>
  </r>
  <r>
    <x v="80"/>
    <x v="80"/>
    <n v="61"/>
    <x v="1"/>
    <s v="New Sean"/>
    <s v="New Mexico"/>
    <s v="USA"/>
    <s v="Bronze"/>
    <s v="Bronze"/>
    <s v="Jennifer Garcia"/>
    <x v="80"/>
  </r>
  <r>
    <x v="81"/>
    <x v="81"/>
    <n v="34"/>
    <x v="1"/>
    <s v="South David"/>
    <s v="Arizona"/>
    <s v="USA"/>
    <s v="Platinum"/>
    <s v="Platinum"/>
    <s v="Krystal Ford"/>
    <x v="81"/>
  </r>
  <r>
    <x v="82"/>
    <x v="82"/>
    <n v="53"/>
    <x v="0"/>
    <s v="Leburgh"/>
    <s v="Florida"/>
    <s v="USA"/>
    <s v="Bronze"/>
    <s v="Bronze"/>
    <s v="George Rosario"/>
    <x v="82"/>
  </r>
  <r>
    <x v="83"/>
    <x v="83"/>
    <n v="48"/>
    <x v="1"/>
    <s v="Nicholastown"/>
    <s v="Georgia"/>
    <s v="USA"/>
    <s v="Bronze"/>
    <s v="Bronze"/>
    <s v="Thomas Robinson"/>
    <x v="83"/>
  </r>
  <r>
    <x v="84"/>
    <x v="84"/>
    <n v="26"/>
    <x v="1"/>
    <s v="Garyberg"/>
    <s v="Indiana"/>
    <s v="USA"/>
    <s v="Platinum"/>
    <s v="Platinum"/>
    <s v="Christy Hoffman"/>
    <x v="84"/>
  </r>
  <r>
    <x v="85"/>
    <x v="85"/>
    <n v="36"/>
    <x v="0"/>
    <s v="West Theodorechester"/>
    <s v="Pennsylvania"/>
    <s v="USA"/>
    <s v="Silver"/>
    <s v="Silver"/>
    <s v="Richard Delgado"/>
    <x v="85"/>
  </r>
  <r>
    <x v="86"/>
    <x v="86"/>
    <n v="19"/>
    <x v="1"/>
    <s v="Austinfurt"/>
    <s v="Mississippi"/>
    <s v="USA"/>
    <s v="Gold"/>
    <s v="Gold"/>
    <s v="Tammy Miller Md"/>
    <x v="86"/>
  </r>
  <r>
    <x v="87"/>
    <x v="87"/>
    <n v="58"/>
    <x v="1"/>
    <s v="East Jenna"/>
    <s v="South Carolina"/>
    <s v="USA"/>
    <s v="Bronze"/>
    <s v="Bronze"/>
    <s v="Melissa Duffy Md"/>
    <x v="87"/>
  </r>
  <r>
    <x v="88"/>
    <x v="88"/>
    <n v="58"/>
    <x v="0"/>
    <s v="Ashleystad"/>
    <s v="Arkansas"/>
    <s v="USA"/>
    <s v="Silver"/>
    <s v="Silver"/>
    <s v="Timothy Wright"/>
    <x v="88"/>
  </r>
  <r>
    <x v="89"/>
    <x v="89"/>
    <n v="43"/>
    <x v="0"/>
    <s v="New Gabrielleville"/>
    <s v="Wisconsin"/>
    <s v="USA"/>
    <s v="Platinum"/>
    <s v="Platinum"/>
    <s v="Jamie Yoder"/>
    <x v="89"/>
  </r>
  <r>
    <x v="90"/>
    <x v="90"/>
    <n v="58"/>
    <x v="1"/>
    <s v="West Cody"/>
    <s v="Louisiana"/>
    <s v="USA"/>
    <s v="Platinum"/>
    <s v="Platinum"/>
    <s v="Oscar Moon"/>
    <x v="90"/>
  </r>
  <r>
    <x v="91"/>
    <x v="91"/>
    <n v="29"/>
    <x v="1"/>
    <s v="South Amandahaven"/>
    <s v="Arizona"/>
    <s v="USA"/>
    <s v="Silver"/>
    <s v="Silver"/>
    <s v="Donna Gregory"/>
    <x v="91"/>
  </r>
  <r>
    <x v="92"/>
    <x v="92"/>
    <n v="44"/>
    <x v="1"/>
    <s v="Lake Brandy"/>
    <s v="Tennessee"/>
    <s v="USA"/>
    <s v="Platinum"/>
    <s v="Platinum"/>
    <s v="Robert Jackson"/>
    <x v="92"/>
  </r>
  <r>
    <x v="93"/>
    <x v="93"/>
    <n v="28"/>
    <x v="1"/>
    <s v="Port Travisstad"/>
    <s v="South Carolina"/>
    <s v="USA"/>
    <s v="Gold"/>
    <s v="Gold"/>
    <s v="Christy Vasquez"/>
    <x v="93"/>
  </r>
  <r>
    <x v="94"/>
    <x v="94"/>
    <n v="43"/>
    <x v="1"/>
    <s v="New Amyport"/>
    <s v="Nevada"/>
    <s v="USA"/>
    <s v="Gold"/>
    <s v="Gold"/>
    <s v="David Patterson"/>
    <x v="94"/>
  </r>
  <r>
    <x v="95"/>
    <x v="95"/>
    <n v="62"/>
    <x v="1"/>
    <s v="West Bobbyshire"/>
    <s v="New York"/>
    <s v="USA"/>
    <s v="Platinum"/>
    <s v="Platinum"/>
    <s v="Amy Fowler"/>
    <x v="95"/>
  </r>
  <r>
    <x v="96"/>
    <x v="96"/>
    <n v="30"/>
    <x v="1"/>
    <s v="Timothyburgh"/>
    <s v="Louisiana"/>
    <s v="USA"/>
    <s v="Platinum"/>
    <s v="Platinum"/>
    <s v="Samantha Walker"/>
    <x v="96"/>
  </r>
  <r>
    <x v="97"/>
    <x v="97"/>
    <n v="36"/>
    <x v="0"/>
    <s v="Lake Thomas"/>
    <s v="South Dakota"/>
    <s v="USA"/>
    <s v="Silver"/>
    <s v="Silver"/>
    <s v="David Cobb"/>
    <x v="97"/>
  </r>
  <r>
    <x v="98"/>
    <x v="98"/>
    <n v="24"/>
    <x v="0"/>
    <s v="Lake Kaylahaven"/>
    <s v="Alaska"/>
    <s v="USA"/>
    <s v="Gold"/>
    <s v="Gold"/>
    <s v="Brittney Morgan"/>
    <x v="98"/>
  </r>
  <r>
    <x v="99"/>
    <x v="99"/>
    <n v="35"/>
    <x v="0"/>
    <s v="South Dustin"/>
    <s v="Tennessee"/>
    <s v="USA"/>
    <s v="Silver"/>
    <s v="Silver"/>
    <s v="Sheila Wilson"/>
    <x v="99"/>
  </r>
  <r>
    <x v="100"/>
    <x v="100"/>
    <n v="53"/>
    <x v="1"/>
    <s v="North Codyport"/>
    <s v="Texas"/>
    <s v="USA"/>
    <s v="Platinum"/>
    <s v="Platinum"/>
    <s v="Diane Watson"/>
    <x v="100"/>
  </r>
  <r>
    <x v="101"/>
    <x v="101"/>
    <n v="29"/>
    <x v="0"/>
    <s v="Singletonmouth"/>
    <s v="Utah"/>
    <s v="USA"/>
    <s v="Gold"/>
    <s v="Gold"/>
    <s v="Colleen Maynard"/>
    <x v="101"/>
  </r>
  <r>
    <x v="102"/>
    <x v="102"/>
    <n v="34"/>
    <x v="1"/>
    <s v="Port Joshuachester"/>
    <s v="Pennsylvania"/>
    <s v="USA"/>
    <s v="Bronze"/>
    <s v="Bronze"/>
    <s v="Sarah Schneider"/>
    <x v="102"/>
  </r>
  <r>
    <x v="103"/>
    <x v="103"/>
    <n v="21"/>
    <x v="0"/>
    <s v="West Lauren"/>
    <s v="Connecticut"/>
    <s v="USA"/>
    <s v="Bronze"/>
    <s v="Bronze"/>
    <s v="Steven Stein"/>
    <x v="103"/>
  </r>
  <r>
    <x v="104"/>
    <x v="104"/>
    <n v="64"/>
    <x v="0"/>
    <s v="South Jenniferville"/>
    <s v="Georgia"/>
    <s v="USA"/>
    <s v="Silver"/>
    <s v="Silver"/>
    <s v="Christopher Lester"/>
    <x v="104"/>
  </r>
  <r>
    <x v="105"/>
    <x v="105"/>
    <n v="50"/>
    <x v="1"/>
    <s v="Port Victoria"/>
    <s v="Florida"/>
    <s v="USA"/>
    <s v="Gold"/>
    <s v="Gold"/>
    <s v="Lance Baker"/>
    <x v="105"/>
  </r>
  <r>
    <x v="106"/>
    <x v="106"/>
    <n v="53"/>
    <x v="1"/>
    <s v="East Linda"/>
    <s v="Rhode Island"/>
    <s v="USA"/>
    <s v="Bronze"/>
    <s v="Bronze"/>
    <s v="Howard Summers"/>
    <x v="106"/>
  </r>
  <r>
    <x v="107"/>
    <x v="107"/>
    <n v="62"/>
    <x v="1"/>
    <s v="North Justin"/>
    <s v="North Dakota"/>
    <s v="USA"/>
    <s v="Platinum"/>
    <s v="Platinum"/>
    <s v="Erica Carney"/>
    <x v="107"/>
  </r>
  <r>
    <x v="108"/>
    <x v="108"/>
    <n v="38"/>
    <x v="0"/>
    <s v="Webstermouth"/>
    <s v="New Hampshire"/>
    <s v="USA"/>
    <s v="Bronze"/>
    <s v="Bronze"/>
    <s v="Travis Holland"/>
    <x v="108"/>
  </r>
  <r>
    <x v="109"/>
    <x v="109"/>
    <n v="27"/>
    <x v="0"/>
    <s v="Smithland"/>
    <s v="West Virginia"/>
    <s v="USA"/>
    <s v="Silver"/>
    <s v="Silver"/>
    <s v="Amy Walker"/>
    <x v="109"/>
  </r>
  <r>
    <x v="110"/>
    <x v="110"/>
    <n v="40"/>
    <x v="1"/>
    <s v="New Dawnton"/>
    <s v="Maryland"/>
    <s v="USA"/>
    <s v="Gold"/>
    <s v="Gold"/>
    <s v="Ashley Griffin"/>
    <x v="110"/>
  </r>
  <r>
    <x v="111"/>
    <x v="111"/>
    <n v="18"/>
    <x v="1"/>
    <s v="Rodriguezmouth"/>
    <s v="Arizona"/>
    <s v="USA"/>
    <s v="Platinum"/>
    <s v="Platinum"/>
    <s v="Julie Farmer"/>
    <x v="111"/>
  </r>
  <r>
    <x v="112"/>
    <x v="112"/>
    <n v="27"/>
    <x v="1"/>
    <s v="Lake Michael"/>
    <s v="Michigan"/>
    <s v="USA"/>
    <s v="Silver"/>
    <s v="Silver"/>
    <s v="David Cole"/>
    <x v="112"/>
  </r>
  <r>
    <x v="113"/>
    <x v="113"/>
    <n v="51"/>
    <x v="0"/>
    <s v="New William"/>
    <s v="New Mexico"/>
    <s v="USA"/>
    <s v="Gold"/>
    <s v="Gold"/>
    <s v="Edward Hall"/>
    <x v="113"/>
  </r>
  <r>
    <x v="114"/>
    <x v="114"/>
    <n v="30"/>
    <x v="0"/>
    <s v="East Donna"/>
    <s v="Nevada"/>
    <s v="USA"/>
    <s v="Bronze"/>
    <s v="Bronze"/>
    <s v="Ryan Hernandez"/>
    <x v="114"/>
  </r>
  <r>
    <x v="115"/>
    <x v="115"/>
    <n v="53"/>
    <x v="1"/>
    <s v="North Curtischester"/>
    <s v="North Dakota"/>
    <s v="USA"/>
    <s v="Platinum"/>
    <s v="Platinum"/>
    <s v="Tyler Conrad"/>
    <x v="115"/>
  </r>
  <r>
    <x v="116"/>
    <x v="116"/>
    <n v="18"/>
    <x v="1"/>
    <s v="North Davidport"/>
    <s v="Rhode Island"/>
    <s v="USA"/>
    <s v="Platinum"/>
    <s v="Platinum"/>
    <s v="Anthony Phillips"/>
    <x v="116"/>
  </r>
  <r>
    <x v="117"/>
    <x v="117"/>
    <n v="21"/>
    <x v="1"/>
    <s v="North Katherine"/>
    <s v="Washington"/>
    <s v="USA"/>
    <s v="Platinum"/>
    <s v="Platinum"/>
    <s v="Colleen Mccarthy"/>
    <x v="117"/>
  </r>
  <r>
    <x v="118"/>
    <x v="118"/>
    <n v="36"/>
    <x v="0"/>
    <s v="New Jenniferburgh"/>
    <s v="Nebraska"/>
    <s v="USA"/>
    <s v="Platinum"/>
    <s v="Platinum"/>
    <s v="Earl Allen"/>
    <x v="118"/>
  </r>
  <r>
    <x v="119"/>
    <x v="119"/>
    <n v="40"/>
    <x v="0"/>
    <s v="North Edwardton"/>
    <s v="Tennessee"/>
    <s v="USA"/>
    <s v="Bronze"/>
    <s v="Bronze"/>
    <s v="Michael Jones"/>
    <x v="119"/>
  </r>
  <r>
    <x v="120"/>
    <x v="120"/>
    <n v="44"/>
    <x v="1"/>
    <s v="lake tylerfort"/>
    <s v="Pennsylvania"/>
    <s v="USA"/>
    <s v="Platinum"/>
    <s v="Platinum"/>
    <s v="Jacob Hopkins"/>
    <x v="120"/>
  </r>
  <r>
    <x v="121"/>
    <x v="121"/>
    <n v="62"/>
    <x v="0"/>
    <s v="Lake Danielport"/>
    <s v="Hawaii"/>
    <s v="USA"/>
    <s v="Platinum"/>
    <s v="Platinum"/>
    <s v="Joel Robinson"/>
    <x v="121"/>
  </r>
  <r>
    <x v="122"/>
    <x v="122"/>
    <n v="50"/>
    <x v="0"/>
    <s v="Kathrynport"/>
    <s v="North Carolina"/>
    <s v="USA"/>
    <s v="Platinum"/>
    <s v="Platinum"/>
    <s v="Michael Chang"/>
    <x v="122"/>
  </r>
  <r>
    <x v="123"/>
    <x v="123"/>
    <n v="40"/>
    <x v="0"/>
    <s v="North Sabrina"/>
    <s v="Iowa"/>
    <s v="USA"/>
    <s v="Silver"/>
    <s v="Silver"/>
    <s v="Erin Hopkins"/>
    <x v="123"/>
  </r>
  <r>
    <x v="124"/>
    <x v="124"/>
    <n v="26"/>
    <x v="0"/>
    <s v="Wongberg"/>
    <s v="Illinois"/>
    <s v="USA"/>
    <s v="Bronze"/>
    <s v="Bronze"/>
    <s v="Donald Lee"/>
    <x v="124"/>
  </r>
  <r>
    <x v="125"/>
    <x v="125"/>
    <n v="64"/>
    <x v="1"/>
    <s v="West Jameston"/>
    <s v="Maine"/>
    <s v="USA"/>
    <s v="Platinum"/>
    <s v="Platinum"/>
    <s v="Keith Miller"/>
    <x v="125"/>
  </r>
  <r>
    <x v="126"/>
    <x v="126"/>
    <n v="62"/>
    <x v="1"/>
    <s v="Benjaminton"/>
    <s v="Arizona"/>
    <s v="USA"/>
    <s v="Gold"/>
    <s v="Gold"/>
    <s v="James Wolfe"/>
    <x v="126"/>
  </r>
  <r>
    <x v="127"/>
    <x v="127"/>
    <n v="39"/>
    <x v="0"/>
    <s v="South Nathan"/>
    <s v="Vermont"/>
    <s v="USA"/>
    <s v="Platinum"/>
    <s v="Platinum"/>
    <s v="John Mcknight"/>
    <x v="127"/>
  </r>
  <r>
    <x v="128"/>
    <x v="128"/>
    <n v="45"/>
    <x v="0"/>
    <s v="East Ellen"/>
    <s v="Arkansas"/>
    <s v="USA"/>
    <s v="Silver"/>
    <s v="Silver"/>
    <s v="Susan Mcdonald"/>
    <x v="128"/>
  </r>
  <r>
    <x v="129"/>
    <x v="129"/>
    <n v="43"/>
    <x v="1"/>
    <s v="Matthewbury"/>
    <s v="South Dakota"/>
    <s v="USA"/>
    <s v="Silver"/>
    <s v="Silver"/>
    <s v="Jessica Mitchell"/>
    <x v="129"/>
  </r>
  <r>
    <x v="130"/>
    <x v="130"/>
    <n v="29"/>
    <x v="0"/>
    <s v="   jonesbury "/>
    <s v="Connecticut"/>
    <s v="United States of America"/>
    <s v="Platinum"/>
    <s v="Platinum"/>
    <s v="Jamie Reyes"/>
    <x v="130"/>
  </r>
  <r>
    <x v="131"/>
    <x v="131"/>
    <n v="34"/>
    <x v="1"/>
    <s v="Wigginsville"/>
    <s v="Alabama"/>
    <s v="USA"/>
    <s v="Bronze"/>
    <s v="Bronze"/>
    <s v="Joseph Richards"/>
    <x v="131"/>
  </r>
  <r>
    <x v="132"/>
    <x v="132"/>
    <n v="57"/>
    <x v="1"/>
    <s v="Taylorberg"/>
    <s v="Ohio"/>
    <s v="USA"/>
    <s v="Gold"/>
    <s v="Gold"/>
    <s v="Miguel Reynolds"/>
    <x v="132"/>
  </r>
  <r>
    <x v="133"/>
    <x v="133"/>
    <n v="62"/>
    <x v="1"/>
    <s v="West Stephenville"/>
    <s v="Florida"/>
    <s v="USA"/>
    <s v="Bronze"/>
    <s v="Bronze"/>
    <s v="Hayley Pope"/>
    <x v="133"/>
  </r>
  <r>
    <x v="134"/>
    <x v="134"/>
    <n v="54"/>
    <x v="0"/>
    <s v="Parksfort"/>
    <s v="Washington"/>
    <s v="USA"/>
    <s v="Gold"/>
    <s v="Gold"/>
    <s v="Morgan Bowen"/>
    <x v="134"/>
  </r>
  <r>
    <x v="135"/>
    <x v="135"/>
    <n v="33"/>
    <x v="1"/>
    <s v="Gonzalezbury"/>
    <s v="Michigan"/>
    <s v="USA"/>
    <s v="Platinum"/>
    <s v="Platinum"/>
    <s v="Matthew Hanna"/>
    <x v="135"/>
  </r>
  <r>
    <x v="136"/>
    <x v="136"/>
    <n v="29"/>
    <x v="0"/>
    <s v="New Jeffrey"/>
    <s v="Nebraska"/>
    <s v="USA"/>
    <s v="Silver"/>
    <s v="Silver"/>
    <s v="Patrick Coleman"/>
    <x v="136"/>
  </r>
  <r>
    <x v="137"/>
    <x v="137"/>
    <n v="55"/>
    <x v="1"/>
    <s v="North Johnbury"/>
    <s v="Ohio"/>
    <s v="USA"/>
    <s v="Platinum"/>
    <s v="Platinum"/>
    <s v="Rick Dominguez"/>
    <x v="137"/>
  </r>
  <r>
    <x v="138"/>
    <x v="138"/>
    <n v="43"/>
    <x v="0"/>
    <s v="Lake Michael"/>
    <s v="Virginia"/>
    <s v="USA"/>
    <s v="Gold"/>
    <s v="Gold"/>
    <s v="Sean Roth"/>
    <x v="138"/>
  </r>
  <r>
    <x v="139"/>
    <x v="139"/>
    <n v="32"/>
    <x v="0"/>
    <s v="Port Travis"/>
    <s v="Utah"/>
    <s v="USA"/>
    <s v="Bronze"/>
    <s v="Bronze"/>
    <s v="Brian Holder"/>
    <x v="139"/>
  </r>
  <r>
    <x v="140"/>
    <x v="140"/>
    <n v="63"/>
    <x v="1"/>
    <s v="South Brooke"/>
    <s v="Pennsylvania"/>
    <s v="USA"/>
    <s v="Gold"/>
    <s v="Gold"/>
    <s v="Patty Francis"/>
    <x v="140"/>
  </r>
  <r>
    <x v="141"/>
    <x v="141"/>
    <n v="30"/>
    <x v="0"/>
    <s v="Port Denise"/>
    <s v="California"/>
    <s v="United States of America"/>
    <s v="Bronze"/>
    <s v="Bronze"/>
    <s v="Cristian Wright"/>
    <x v="141"/>
  </r>
  <r>
    <x v="142"/>
    <x v="142"/>
    <n v="37"/>
    <x v="0"/>
    <s v="West Brandon"/>
    <s v="Montana"/>
    <s v="USA"/>
    <s v="Bronze"/>
    <s v="Bronze"/>
    <s v="Maria Ramirez"/>
    <x v="142"/>
  </r>
  <r>
    <x v="143"/>
    <x v="143"/>
    <n v="46"/>
    <x v="0"/>
    <s v="Dwaynemouth"/>
    <s v="Alabama"/>
    <s v="USA"/>
    <s v="Bronze"/>
    <s v="Bronze"/>
    <s v="Carlos Skinner"/>
    <x v="143"/>
  </r>
  <r>
    <x v="144"/>
    <x v="144"/>
    <n v="62"/>
    <x v="1"/>
    <s v="North Anthonychester"/>
    <s v="Nevada"/>
    <s v="USA"/>
    <s v="Bronze"/>
    <s v="Bronze"/>
    <s v="Justin Cross"/>
    <x v="144"/>
  </r>
  <r>
    <x v="145"/>
    <x v="145"/>
    <n v="46"/>
    <x v="0"/>
    <s v="Michaelfort"/>
    <s v="Indiana"/>
    <s v="USA"/>
    <s v="Platinum"/>
    <s v="Platinum"/>
    <s v="Cameron Simpson"/>
    <x v="145"/>
  </r>
  <r>
    <x v="146"/>
    <x v="146"/>
    <n v="32"/>
    <x v="1"/>
    <s v="Chungmouth"/>
    <s v="South Carolina"/>
    <s v="USA"/>
    <s v="Gold"/>
    <s v="Gold"/>
    <s v="Edward Rivera"/>
    <x v="146"/>
  </r>
  <r>
    <x v="147"/>
    <x v="147"/>
    <n v="49"/>
    <x v="1"/>
    <s v="Lake Nathanfort"/>
    <s v="Alaska"/>
    <s v="USA"/>
    <s v="Platinum"/>
    <s v="Platinum"/>
    <s v="Rhonda Young"/>
    <x v="147"/>
  </r>
  <r>
    <x v="148"/>
    <x v="148"/>
    <n v="42"/>
    <x v="1"/>
    <s v="New Brian"/>
    <s v="Wisconsin"/>
    <s v="USA"/>
    <s v="Bronze"/>
    <s v="Bronze"/>
    <s v="Theresa Campbell"/>
    <x v="148"/>
  </r>
  <r>
    <x v="149"/>
    <x v="149"/>
    <n v="33"/>
    <x v="0"/>
    <s v="West Markhaven"/>
    <s v="Florida"/>
    <s v="USA"/>
    <s v="Platinum"/>
    <s v="Platinum"/>
    <s v="Denise Griffin"/>
    <x v="149"/>
  </r>
  <r>
    <x v="150"/>
    <x v="150"/>
    <n v="24"/>
    <x v="0"/>
    <s v="Port Frankmouth"/>
    <s v="Mississippi"/>
    <s v="USA"/>
    <s v="Gold"/>
    <s v="Gold"/>
    <s v="Stephanie Conway"/>
    <x v="150"/>
  </r>
  <r>
    <x v="151"/>
    <x v="151"/>
    <n v="25"/>
    <x v="1"/>
    <s v="Lake Stevenfort"/>
    <s v="Oregon"/>
    <s v="USA"/>
    <s v="Gold"/>
    <s v="Gold"/>
    <s v="Michael Davies"/>
    <x v="151"/>
  </r>
  <r>
    <x v="152"/>
    <x v="152"/>
    <n v="41"/>
    <x v="1"/>
    <s v="Jaredville"/>
    <s v="Missouri"/>
    <s v="USA"/>
    <s v="Platinum"/>
    <s v="Platinum"/>
    <s v="Patrick Roberts"/>
    <x v="152"/>
  </r>
  <r>
    <x v="153"/>
    <x v="153"/>
    <n v="31"/>
    <x v="0"/>
    <s v="New Leahfurt"/>
    <s v="North Dakota"/>
    <s v="USA"/>
    <s v="Bronze"/>
    <s v="Bronze"/>
    <s v="Joseph Faulkner"/>
    <x v="153"/>
  </r>
  <r>
    <x v="154"/>
    <x v="154"/>
    <n v="35"/>
    <x v="1"/>
    <s v="Owensview"/>
    <s v="Vermont"/>
    <s v="USA"/>
    <s v="Gold"/>
    <s v="Gold"/>
    <s v="Julie Hale"/>
    <x v="154"/>
  </r>
  <r>
    <x v="155"/>
    <x v="155"/>
    <n v="60"/>
    <x v="1"/>
    <s v="Estradaside"/>
    <s v="Iowa"/>
    <s v="USA"/>
    <s v="Gold"/>
    <s v="Gold"/>
    <s v="Curtis Haynes"/>
    <x v="155"/>
  </r>
  <r>
    <x v="156"/>
    <x v="156"/>
    <n v="46"/>
    <x v="0"/>
    <s v="East Peterbury"/>
    <s v="North Dakota"/>
    <s v="USA"/>
    <s v="Bronze"/>
    <s v="Bronze"/>
    <s v="Maria Sanchez"/>
    <x v="156"/>
  </r>
  <r>
    <x v="157"/>
    <x v="157"/>
    <n v="59"/>
    <x v="0"/>
    <s v="North Larryfurt"/>
    <s v="North Dakota"/>
    <s v="USA"/>
    <s v="Platinum"/>
    <s v="Platinum"/>
    <s v="Paul Zamora"/>
    <x v="157"/>
  </r>
  <r>
    <x v="158"/>
    <x v="158"/>
    <n v="43"/>
    <x v="0"/>
    <s v="South Kevin"/>
    <s v="Vermont"/>
    <s v="USA"/>
    <s v="Bronze"/>
    <s v="Bronze"/>
    <s v="Sean Powell"/>
    <x v="158"/>
  </r>
  <r>
    <x v="159"/>
    <x v="159"/>
    <n v="46"/>
    <x v="1"/>
    <s v="Floydton"/>
    <s v="New Jersey"/>
    <s v="USA"/>
    <s v="Gold"/>
    <s v="Gold"/>
    <s v="Brian Choi"/>
    <x v="159"/>
  </r>
  <r>
    <x v="160"/>
    <x v="160"/>
    <n v="41"/>
    <x v="1"/>
    <s v="New Juliemouth"/>
    <s v="North Carolina"/>
    <s v="USA"/>
    <s v="Platinum"/>
    <s v="Platinum"/>
    <s v="John Lawson"/>
    <x v="160"/>
  </r>
  <r>
    <x v="161"/>
    <x v="161"/>
    <n v="18"/>
    <x v="1"/>
    <s v="Hessmouth"/>
    <s v="Arizona"/>
    <s v="USA"/>
    <s v="Silver"/>
    <s v="Silver"/>
    <s v="Cynthia Morris"/>
    <x v="161"/>
  </r>
  <r>
    <x v="162"/>
    <x v="162"/>
    <n v="37"/>
    <x v="0"/>
    <s v="Palmerbury"/>
    <s v="Tennessee"/>
    <s v="United States of America"/>
    <s v="Silver"/>
    <s v="Silver"/>
    <s v="Mariah Brown"/>
    <x v="162"/>
  </r>
  <r>
    <x v="163"/>
    <x v="163"/>
    <n v="21"/>
    <x v="0"/>
    <s v="North Matthew"/>
    <s v="Illinois"/>
    <s v="USA"/>
    <s v="Bronze"/>
    <s v="Bronze"/>
    <s v="Joseph Jones"/>
    <x v="163"/>
  </r>
  <r>
    <x v="164"/>
    <x v="164"/>
    <n v="39"/>
    <x v="1"/>
    <s v="Dominiquefort"/>
    <s v="Georgia"/>
    <s v="USA"/>
    <s v="Silver"/>
    <s v="Silver"/>
    <s v="Daniel Rivas"/>
    <x v="164"/>
  </r>
  <r>
    <x v="165"/>
    <x v="165"/>
    <n v="47"/>
    <x v="1"/>
    <s v="Carolview"/>
    <s v="Illinois"/>
    <s v="USA"/>
    <s v="Platinum"/>
    <s v="Platinum"/>
    <s v="Jason Wheeler"/>
    <x v="165"/>
  </r>
  <r>
    <x v="166"/>
    <x v="166"/>
    <n v="25"/>
    <x v="1"/>
    <s v="South Ashleyton"/>
    <s v="Michigan"/>
    <s v="USA"/>
    <s v="Silver"/>
    <s v="Silver"/>
    <s v="Patricia Gardner"/>
    <x v="166"/>
  </r>
  <r>
    <x v="167"/>
    <x v="167"/>
    <n v="36"/>
    <x v="1"/>
    <s v="New Jasonmouth"/>
    <s v="Tennessee"/>
    <s v="USA"/>
    <s v="Gold"/>
    <s v="Gold"/>
    <s v="Antonio Wade"/>
    <x v="167"/>
  </r>
  <r>
    <x v="168"/>
    <x v="168"/>
    <n v="36"/>
    <x v="1"/>
    <s v="Robertview"/>
    <s v="Florida"/>
    <s v="USA"/>
    <s v="Platinum"/>
    <s v="Platinum"/>
    <s v="Daniel Contreras"/>
    <x v="168"/>
  </r>
  <r>
    <x v="169"/>
    <x v="169"/>
    <n v="64"/>
    <x v="0"/>
    <s v="Josephmouth"/>
    <s v="New Hampshire"/>
    <s v="USA"/>
    <s v="Bronze"/>
    <s v="Bronze"/>
    <s v="Steve Mclaughlin"/>
    <x v="169"/>
  </r>
  <r>
    <x v="170"/>
    <x v="170"/>
    <n v="18"/>
    <x v="0"/>
    <s v="New Joseph"/>
    <s v="Missouri"/>
    <s v="USA"/>
    <s v="Gold"/>
    <s v="Gold"/>
    <s v="Christopher Garcia Dds"/>
    <x v="170"/>
  </r>
  <r>
    <x v="171"/>
    <x v="171"/>
    <n v="44"/>
    <x v="1"/>
    <s v="Morrisburgh"/>
    <s v="Indiana"/>
    <s v="USA"/>
    <s v="Platinum"/>
    <s v="Platinum"/>
    <s v="Amy Wilson"/>
    <x v="171"/>
  </r>
  <r>
    <x v="172"/>
    <x v="172"/>
    <n v="41"/>
    <x v="1"/>
    <s v="Port Richard"/>
    <s v="West Virginia"/>
    <s v="USA"/>
    <s v="Bronze"/>
    <s v="Bronze"/>
    <s v="Thomas Rhodes"/>
    <x v="172"/>
  </r>
  <r>
    <x v="173"/>
    <x v="173"/>
    <n v="41"/>
    <x v="1"/>
    <s v="New William"/>
    <s v="Iowa"/>
    <s v="USA"/>
    <s v="Platinum"/>
    <s v="Platinum"/>
    <s v="Teresa Stokes"/>
    <x v="173"/>
  </r>
  <r>
    <x v="174"/>
    <x v="174"/>
    <n v="26"/>
    <x v="1"/>
    <s v="Avilahaven"/>
    <s v="Vermont"/>
    <s v="USA"/>
    <s v="Gold"/>
    <s v="Gold"/>
    <s v="Maria Davis"/>
    <x v="174"/>
  </r>
  <r>
    <x v="175"/>
    <x v="175"/>
    <n v="56"/>
    <x v="0"/>
    <s v="East Jessicaborough"/>
    <s v="Hawaii"/>
    <s v="USA"/>
    <s v="Platinum"/>
    <s v="Platinum"/>
    <s v="Michelle Rogers"/>
    <x v="175"/>
  </r>
  <r>
    <x v="176"/>
    <x v="176"/>
    <n v="48"/>
    <x v="0"/>
    <s v="Anabury"/>
    <s v="Vermont"/>
    <s v="USA"/>
    <s v="Silver"/>
    <s v="Silver"/>
    <s v="John Bradford"/>
    <x v="176"/>
  </r>
  <r>
    <x v="177"/>
    <x v="177"/>
    <n v="55"/>
    <x v="0"/>
    <s v="Butlerberg"/>
    <s v="Kentucky"/>
    <s v="USA"/>
    <s v="Platinum"/>
    <s v="Platinum"/>
    <s v="Curtis Lam"/>
    <x v="177"/>
  </r>
  <r>
    <x v="178"/>
    <x v="178"/>
    <n v="33"/>
    <x v="1"/>
    <s v="West Daniel"/>
    <s v="South Carolina"/>
    <s v="USA"/>
    <s v="Bronze"/>
    <s v="Bronze"/>
    <s v="Michelle Myers"/>
    <x v="178"/>
  </r>
  <r>
    <x v="179"/>
    <x v="179"/>
    <n v="43"/>
    <x v="1"/>
    <s v="Murphyfurt"/>
    <s v="Utah"/>
    <s v="USA"/>
    <s v="Silver"/>
    <s v="Silver"/>
    <s v="Nicholas Bradshaw"/>
    <x v="179"/>
  </r>
  <r>
    <x v="180"/>
    <x v="180"/>
    <n v="38"/>
    <x v="0"/>
    <s v="East Davidmouth"/>
    <s v="Maine"/>
    <s v="USA"/>
    <s v="Bronze"/>
    <s v="Bronze"/>
    <s v="Wesley Thompson"/>
    <x v="180"/>
  </r>
  <r>
    <x v="181"/>
    <x v="181"/>
    <n v="60"/>
    <x v="0"/>
    <s v="New Brianchester"/>
    <s v="New York"/>
    <s v="USA"/>
    <s v="Bronze"/>
    <s v="Bronze"/>
    <s v="Erin Ward"/>
    <x v="181"/>
  </r>
  <r>
    <x v="182"/>
    <x v="182"/>
    <n v="23"/>
    <x v="1"/>
    <s v="Hutchinsonville"/>
    <s v="Oklahoma"/>
    <s v="USA"/>
    <s v="Silver"/>
    <s v="Silver"/>
    <s v="Melissa Hamilton"/>
    <x v="182"/>
  </r>
  <r>
    <x v="183"/>
    <x v="183"/>
    <n v="18"/>
    <x v="0"/>
    <s v="Port James"/>
    <s v="New York"/>
    <s v="USA"/>
    <s v="Platinum"/>
    <s v="Platinum"/>
    <s v="Mario Jacobs"/>
    <x v="183"/>
  </r>
  <r>
    <x v="184"/>
    <x v="184"/>
    <n v="46"/>
    <x v="1"/>
    <s v="Port Sherryview"/>
    <s v="North Dakota"/>
    <s v="USA"/>
    <s v="Silver"/>
    <s v="Silver"/>
    <s v="Leonard Cochran"/>
    <x v="184"/>
  </r>
  <r>
    <x v="185"/>
    <x v="185"/>
    <n v="54"/>
    <x v="1"/>
    <s v="North Kellyberg"/>
    <s v="New Jersey"/>
    <s v="USA"/>
    <s v="Platinum"/>
    <s v="Platinum"/>
    <s v="Brent Rivas"/>
    <x v="185"/>
  </r>
  <r>
    <x v="186"/>
    <x v="186"/>
    <n v="53"/>
    <x v="0"/>
    <s v="East Justin"/>
    <s v="Missouri"/>
    <s v="USA"/>
    <s v="Silver"/>
    <s v="Silver"/>
    <s v="Jennifer Pruitt"/>
    <x v="186"/>
  </r>
  <r>
    <x v="187"/>
    <x v="187"/>
    <n v="60"/>
    <x v="1"/>
    <s v="Lake Blaketon"/>
    <s v="Alabama"/>
    <s v="USA"/>
    <s v="Platinum"/>
    <s v="Platinum"/>
    <s v="Dr. Suzanne Bullock"/>
    <x v="187"/>
  </r>
  <r>
    <x v="188"/>
    <x v="188"/>
    <n v="42"/>
    <x v="0"/>
    <s v="Kingfort"/>
    <s v="New Mexico"/>
    <s v="USA"/>
    <s v="Silver"/>
    <s v="Silver"/>
    <s v="Kimberly Brooks"/>
    <x v="188"/>
  </r>
  <r>
    <x v="189"/>
    <x v="189"/>
    <n v="29"/>
    <x v="0"/>
    <s v="Lake Howardberg"/>
    <s v="Kentucky"/>
    <s v="USA"/>
    <s v="Gold"/>
    <s v="Gold"/>
    <s v="Daniel Austin"/>
    <x v="189"/>
  </r>
  <r>
    <x v="190"/>
    <x v="190"/>
    <n v="21"/>
    <x v="0"/>
    <s v="Amandaside"/>
    <s v="New York"/>
    <s v="USA"/>
    <s v="Bronze"/>
    <s v="Bronze"/>
    <s v="Christopher Stewart"/>
    <x v="190"/>
  </r>
  <r>
    <x v="191"/>
    <x v="191"/>
    <n v="29"/>
    <x v="1"/>
    <s v="Johnsonshire"/>
    <s v="Ohio"/>
    <s v="USA"/>
    <s v="Bronze"/>
    <s v="Bronze"/>
    <s v="Todd Poole"/>
    <x v="191"/>
  </r>
  <r>
    <x v="192"/>
    <x v="192"/>
    <n v="26"/>
    <x v="0"/>
    <s v="Lake Samanthafort"/>
    <s v="Idaho"/>
    <s v="USA"/>
    <s v="Gold"/>
    <s v="Gold"/>
    <s v="Jacob Wood"/>
    <x v="192"/>
  </r>
  <r>
    <x v="193"/>
    <x v="193"/>
    <n v="38"/>
    <x v="0"/>
    <s v="Port Amanda"/>
    <s v="Georgia"/>
    <s v="USA"/>
    <s v="Gold"/>
    <s v="Gold"/>
    <s v="David Roberts"/>
    <x v="193"/>
  </r>
  <r>
    <x v="194"/>
    <x v="194"/>
    <n v="46"/>
    <x v="0"/>
    <s v="Sarahmouth"/>
    <s v="Pennsylvania"/>
    <s v="USA"/>
    <s v="Gold"/>
    <s v="Gold"/>
    <s v="Ashley Ferguson"/>
    <x v="194"/>
  </r>
  <r>
    <x v="195"/>
    <x v="195"/>
    <n v="60"/>
    <x v="0"/>
    <s v="Taraberg"/>
    <s v="Arizona"/>
    <s v="USA"/>
    <s v="Silver"/>
    <s v="Silver"/>
    <s v="Anthony Garcia"/>
    <x v="195"/>
  </r>
  <r>
    <x v="196"/>
    <x v="196"/>
    <n v="18"/>
    <x v="1"/>
    <s v="West John"/>
    <s v="Alaska"/>
    <s v="USA"/>
    <s v="Platinum"/>
    <s v="Platinum"/>
    <s v="Megan Greer"/>
    <x v="196"/>
  </r>
  <r>
    <x v="197"/>
    <x v="197"/>
    <n v="45"/>
    <x v="1"/>
    <s v="Christopherland"/>
    <s v="Minnesota"/>
    <s v="USA"/>
    <s v="Platinum"/>
    <s v="Platinum"/>
    <s v="Andrea Jacobs"/>
    <x v="197"/>
  </r>
  <r>
    <x v="198"/>
    <x v="198"/>
    <n v="54"/>
    <x v="0"/>
    <s v="Frostmouth"/>
    <s v="Vermont"/>
    <s v="USA"/>
    <s v="Bronze"/>
    <s v="Bronze"/>
    <s v="Wanda Snyder"/>
    <x v="198"/>
  </r>
  <r>
    <x v="199"/>
    <x v="199"/>
    <n v="46"/>
    <x v="0"/>
    <s v="North Briannamouth"/>
    <s v="Tennessee"/>
    <s v="USA"/>
    <s v="Bronze"/>
    <s v="Bronze"/>
    <s v="Carmen Price"/>
    <x v="199"/>
  </r>
  <r>
    <x v="200"/>
    <x v="200"/>
    <n v="30"/>
    <x v="0"/>
    <s v="South Jerry"/>
    <s v="Maine"/>
    <s v="USA"/>
    <s v="Platinum"/>
    <s v="Platinum"/>
    <s v="Anna Perez"/>
    <x v="200"/>
  </r>
  <r>
    <x v="201"/>
    <x v="201"/>
    <n v="25"/>
    <x v="1"/>
    <s v="New Logan"/>
    <s v="Michigan"/>
    <s v="USA"/>
    <s v="Bronze"/>
    <s v="Bronze"/>
    <s v="Mary Boyd"/>
    <x v="201"/>
  </r>
  <r>
    <x v="202"/>
    <x v="202"/>
    <n v="37"/>
    <x v="1"/>
    <s v="Clarkeside"/>
    <s v="Kansas"/>
    <s v="USA"/>
    <s v="Platinum"/>
    <s v="Platinum"/>
    <s v="Christina Garcia"/>
    <x v="202"/>
  </r>
  <r>
    <x v="203"/>
    <x v="203"/>
    <n v="47"/>
    <x v="0"/>
    <s v="Johnsonland"/>
    <s v="Iowa"/>
    <s v="USA"/>
    <s v="Platinum"/>
    <s v="Platinum"/>
    <s v="Sarah Brady"/>
    <x v="203"/>
  </r>
  <r>
    <x v="204"/>
    <x v="204"/>
    <n v="52"/>
    <x v="0"/>
    <s v="New Dianebury"/>
    <s v="Virginia"/>
    <s v="USA"/>
    <s v="Platinum"/>
    <s v="Platinum"/>
    <s v="Tiffany Herrera"/>
    <x v="204"/>
  </r>
  <r>
    <x v="205"/>
    <x v="205"/>
    <n v="44"/>
    <x v="1"/>
    <s v="Lake Danielleton"/>
    <s v="New Jersey"/>
    <s v="USA"/>
    <s v="Gold"/>
    <s v="Gold"/>
    <s v="Michelle Carpenter"/>
    <x v="205"/>
  </r>
  <r>
    <x v="206"/>
    <x v="206"/>
    <n v="26"/>
    <x v="1"/>
    <s v="Brownshire"/>
    <s v="Tennessee"/>
    <s v="USA"/>
    <s v="Silver"/>
    <s v="Silver"/>
    <s v="Ronald Jones"/>
    <x v="206"/>
  </r>
  <r>
    <x v="207"/>
    <x v="207"/>
    <n v="28"/>
    <x v="1"/>
    <s v="South Emily"/>
    <s v="New Jersey"/>
    <s v="USA"/>
    <s v="Bronze"/>
    <s v="Bronze"/>
    <s v="Jacqueline Pacheco"/>
    <x v="207"/>
  </r>
  <r>
    <x v="208"/>
    <x v="208"/>
    <n v="54"/>
    <x v="0"/>
    <s v="Kathrynview"/>
    <s v="Louisiana"/>
    <s v="USA"/>
    <s v="Platinum"/>
    <s v="Platinum"/>
    <s v="John Perez"/>
    <x v="208"/>
  </r>
  <r>
    <x v="209"/>
    <x v="209"/>
    <n v="50"/>
    <x v="1"/>
    <s v="Lake Josephport"/>
    <s v="Maine"/>
    <s v="USA"/>
    <s v="Platinum"/>
    <s v="Platinum"/>
    <s v="Joan Johnson"/>
    <x v="209"/>
  </r>
  <r>
    <x v="210"/>
    <x v="210"/>
    <n v="48"/>
    <x v="0"/>
    <s v="Matthewborough"/>
    <s v="Georgia"/>
    <s v="USA"/>
    <s v="Silver"/>
    <s v="Silver"/>
    <s v="Antonio Jones"/>
    <x v="210"/>
  </r>
  <r>
    <x v="211"/>
    <x v="211"/>
    <n v="20"/>
    <x v="1"/>
    <s v="Garzafort"/>
    <s v="Delaware"/>
    <s v="USA"/>
    <s v="Silver"/>
    <s v="Silver"/>
    <s v="Rodney Huffman"/>
    <x v="211"/>
  </r>
  <r>
    <x v="212"/>
    <x v="212"/>
    <n v="63"/>
    <x v="1"/>
    <s v="Lyonsfort"/>
    <s v="Washington"/>
    <s v="USA"/>
    <s v="Platinum"/>
    <s v="Platinum"/>
    <s v="Blake Harrison"/>
    <x v="212"/>
  </r>
  <r>
    <x v="213"/>
    <x v="213"/>
    <n v="42"/>
    <x v="1"/>
    <s v="West Markport"/>
    <s v="North Dakota"/>
    <s v="USA"/>
    <s v="Platinum"/>
    <s v="Platinum"/>
    <s v="Stuart Johnson"/>
    <x v="213"/>
  </r>
  <r>
    <x v="214"/>
    <x v="214"/>
    <n v="61"/>
    <x v="0"/>
    <s v="Danielstad"/>
    <s v="Montana"/>
    <s v="USA"/>
    <s v="Gold"/>
    <s v="Gold"/>
    <s v="Eric Todd"/>
    <x v="214"/>
  </r>
  <r>
    <x v="215"/>
    <x v="215"/>
    <n v="50"/>
    <x v="1"/>
    <s v="East Josephside"/>
    <s v="Oregon"/>
    <s v="USA"/>
    <s v="Gold"/>
    <s v="Gold"/>
    <s v="Steve Medina"/>
    <x v="215"/>
  </r>
  <r>
    <x v="216"/>
    <x v="216"/>
    <n v="44"/>
    <x v="0"/>
    <s v="Morrismouth"/>
    <s v="California"/>
    <s v="USA"/>
    <s v="Platinum"/>
    <s v="Platinum"/>
    <s v="Kathryn Garcia"/>
    <x v="216"/>
  </r>
  <r>
    <x v="217"/>
    <x v="217"/>
    <n v="42"/>
    <x v="0"/>
    <s v="North Christinemouth"/>
    <s v="Missouri"/>
    <s v="USA"/>
    <s v="Silver"/>
    <s v="Silver"/>
    <s v="Kathy Copeland"/>
    <x v="217"/>
  </r>
  <r>
    <x v="218"/>
    <x v="218"/>
    <n v="46"/>
    <x v="0"/>
    <s v="Edwardland"/>
    <s v="California"/>
    <s v="USA"/>
    <s v="Platinum"/>
    <s v="Platinum"/>
    <s v="Julia Jackson"/>
    <x v="218"/>
  </r>
  <r>
    <x v="219"/>
    <x v="219"/>
    <n v="47"/>
    <x v="1"/>
    <s v="Phillipschester   "/>
    <s v="New Jersey"/>
    <s v="USA"/>
    <s v="Gold"/>
    <s v="Gold"/>
    <s v="Jordan Wells"/>
    <x v="219"/>
  </r>
  <r>
    <x v="220"/>
    <x v="220"/>
    <n v="50"/>
    <x v="1"/>
    <s v="    lake lisa"/>
    <s v="Massachusetts"/>
    <s v="USA"/>
    <s v="Bronze"/>
    <s v="Bronze"/>
    <s v="George Davis"/>
    <x v="220"/>
  </r>
  <r>
    <x v="221"/>
    <x v="221"/>
    <n v="38"/>
    <x v="0"/>
    <s v="Maybury"/>
    <s v="Georgia"/>
    <s v="USA"/>
    <s v="Platinum"/>
    <s v="Platinum"/>
    <s v="Lisa Young"/>
    <x v="221"/>
  </r>
  <r>
    <x v="222"/>
    <x v="222"/>
    <n v="35"/>
    <x v="0"/>
    <s v="East Crystalton"/>
    <s v="New Mexico"/>
    <s v="USA"/>
    <s v="Platinum"/>
    <s v="Platinum"/>
    <s v="Alejandro Doyle"/>
    <x v="222"/>
  </r>
  <r>
    <x v="223"/>
    <x v="223"/>
    <n v="50"/>
    <x v="0"/>
    <s v="East jeremy"/>
    <s v="Iowa"/>
    <s v="USA"/>
    <s v="Platinum"/>
    <s v="Platinum"/>
    <s v="Robert Harris"/>
    <x v="223"/>
  </r>
  <r>
    <x v="224"/>
    <x v="224"/>
    <n v="29"/>
    <x v="0"/>
    <s v="New Anthonyfurt"/>
    <s v="Missouri"/>
    <s v="USA"/>
    <s v="Silver"/>
    <s v="Silver"/>
    <s v="Anthony Morgan"/>
    <x v="224"/>
  </r>
  <r>
    <x v="225"/>
    <x v="225"/>
    <n v="46"/>
    <x v="1"/>
    <s v="Bethanyton"/>
    <s v="Utah"/>
    <s v="USA"/>
    <s v="Platinum"/>
    <s v="Platinum"/>
    <s v="Elizabeth Stanley"/>
    <x v="225"/>
  </r>
  <r>
    <x v="226"/>
    <x v="226"/>
    <n v="54"/>
    <x v="0"/>
    <s v="Morrisbury"/>
    <s v="Alaska"/>
    <s v="USA"/>
    <s v="Gold"/>
    <s v="Gold"/>
    <s v="Alexis Castaneda"/>
    <x v="226"/>
  </r>
  <r>
    <x v="227"/>
    <x v="227"/>
    <n v="63"/>
    <x v="1"/>
    <s v="Pollardton"/>
    <s v="Kansas"/>
    <s v="USA"/>
    <s v="Gold"/>
    <s v="Gold"/>
    <s v="Gregory Pham"/>
    <x v="227"/>
  </r>
  <r>
    <x v="228"/>
    <x v="228"/>
    <n v="52"/>
    <x v="1"/>
    <s v="Lake Michael"/>
    <s v="Utah"/>
    <s v="USA"/>
    <s v="Gold"/>
    <s v="Gold"/>
    <s v="Casey Flores"/>
    <x v="228"/>
  </r>
  <r>
    <x v="229"/>
    <x v="229"/>
    <n v="32"/>
    <x v="1"/>
    <s v="Port Lisashire"/>
    <s v="Maryland"/>
    <s v="USA"/>
    <s v="Bronze"/>
    <s v="Bronze"/>
    <s v="Tanner Thompson"/>
    <x v="229"/>
  </r>
  <r>
    <x v="230"/>
    <x v="230"/>
    <n v="29"/>
    <x v="0"/>
    <s v="Aaronmouth"/>
    <s v="Florida"/>
    <s v="USA"/>
    <s v="Bronze"/>
    <s v="Bronze"/>
    <s v="Timothy Sanders"/>
    <x v="230"/>
  </r>
  <r>
    <x v="231"/>
    <x v="231"/>
    <n v="22"/>
    <x v="1"/>
    <s v="Grahamstad"/>
    <s v="South Carolina"/>
    <s v="USA"/>
    <s v="Bronze"/>
    <s v="Bronze"/>
    <s v="Timothy Juarez"/>
    <x v="231"/>
  </r>
  <r>
    <x v="232"/>
    <x v="232"/>
    <n v="27"/>
    <x v="1"/>
    <s v="Tammyton"/>
    <s v="New Jersey"/>
    <s v="USA"/>
    <s v="Platinum"/>
    <s v="Platinum"/>
    <s v="Christy Hill"/>
    <x v="232"/>
  </r>
  <r>
    <x v="233"/>
    <x v="233"/>
    <n v="59"/>
    <x v="0"/>
    <s v="Clarkport"/>
    <s v="West Virginia"/>
    <s v="USA"/>
    <s v="Silver"/>
    <s v="Silver"/>
    <s v="Michelle Gonzalez"/>
    <x v="233"/>
  </r>
  <r>
    <x v="234"/>
    <x v="234"/>
    <n v="43"/>
    <x v="1"/>
    <s v="Lake Mark"/>
    <s v="Kansas"/>
    <s v="USA"/>
    <s v="Gold"/>
    <s v="Gold"/>
    <s v="Nathaniel Hill"/>
    <x v="234"/>
  </r>
  <r>
    <x v="235"/>
    <x v="235"/>
    <n v="28"/>
    <x v="1"/>
    <s v="South Angelaport"/>
    <s v="Delaware"/>
    <s v="USA"/>
    <s v="Bronze"/>
    <s v="Bronze"/>
    <s v="Jon Ortiz"/>
    <x v="235"/>
  </r>
  <r>
    <x v="236"/>
    <x v="236"/>
    <n v="42"/>
    <x v="1"/>
    <s v="North Larryport"/>
    <s v="Virginia"/>
    <s v="USA"/>
    <s v="Bronze"/>
    <s v="Bronze"/>
    <s v="Joshua Wilson"/>
    <x v="236"/>
  </r>
  <r>
    <x v="237"/>
    <x v="237"/>
    <n v="41"/>
    <x v="1"/>
    <s v="Susanstad"/>
    <s v="Montana"/>
    <s v="USA"/>
    <s v="Gold"/>
    <s v="Gold"/>
    <s v="Wesley Short"/>
    <x v="237"/>
  </r>
  <r>
    <x v="238"/>
    <x v="238"/>
    <n v="40"/>
    <x v="0"/>
    <s v="Port Krista"/>
    <s v="West Virginia"/>
    <s v="USA"/>
    <s v="Platinum"/>
    <s v="Platinum"/>
    <s v="Steven Smith"/>
    <x v="238"/>
  </r>
  <r>
    <x v="239"/>
    <x v="239"/>
    <n v="58"/>
    <x v="1"/>
    <s v="Zamoraborough"/>
    <s v="Nevada"/>
    <s v="USA"/>
    <s v="Platinum"/>
    <s v="Platinum"/>
    <s v="Maria Hill"/>
    <x v="239"/>
  </r>
  <r>
    <x v="240"/>
    <x v="240"/>
    <n v="59"/>
    <x v="1"/>
    <s v="Heathfort"/>
    <s v="Michigan"/>
    <s v="USA"/>
    <s v="Platinum"/>
    <s v="Platinum"/>
    <s v="William Hull"/>
    <x v="240"/>
  </r>
  <r>
    <x v="241"/>
    <x v="241"/>
    <n v="31"/>
    <x v="0"/>
    <s v="Dawsonchester"/>
    <s v="Virginia"/>
    <s v="USA"/>
    <s v="Platinum"/>
    <s v="Platinum"/>
    <s v="Mr. William Horton"/>
    <x v="241"/>
  </r>
  <r>
    <x v="242"/>
    <x v="242"/>
    <n v="58"/>
    <x v="1"/>
    <s v="New Tina"/>
    <s v="Connecticut"/>
    <s v="USA"/>
    <s v="Silver"/>
    <s v="Silver"/>
    <s v="William Jackson"/>
    <x v="242"/>
  </r>
  <r>
    <x v="243"/>
    <x v="243"/>
    <n v="56"/>
    <x v="1"/>
    <s v="North Nicholas"/>
    <s v="Texas"/>
    <s v="USA"/>
    <s v="Gold"/>
    <s v="Gold"/>
    <s v="Brian Hammond"/>
    <x v="243"/>
  </r>
  <r>
    <x v="244"/>
    <x v="244"/>
    <n v="19"/>
    <x v="0"/>
    <s v="West Julia"/>
    <s v="Utah"/>
    <s v="USA"/>
    <s v="Bronze"/>
    <s v="Bronze"/>
    <s v="Nancy Page"/>
    <x v="244"/>
  </r>
  <r>
    <x v="245"/>
    <x v="245"/>
    <n v="57"/>
    <x v="1"/>
    <s v="Rodriguezton"/>
    <s v="Michigan"/>
    <s v="USA"/>
    <s v="Platinum"/>
    <s v="Platinum"/>
    <s v="Laura Soto"/>
    <x v="245"/>
  </r>
  <r>
    <x v="246"/>
    <x v="246"/>
    <n v="58"/>
    <x v="0"/>
    <s v="South Regina"/>
    <s v="Arkansas"/>
    <s v="USA"/>
    <s v="Bronze"/>
    <s v="Bronze"/>
    <s v="Mary Russell"/>
    <x v="246"/>
  </r>
  <r>
    <x v="247"/>
    <x v="247"/>
    <n v="32"/>
    <x v="0"/>
    <s v="Mikehaven"/>
    <s v="New Hampshire"/>
    <s v="USA"/>
    <s v="Platinum"/>
    <s v="Platinum"/>
    <s v="Douglas Rhodes"/>
    <x v="247"/>
  </r>
  <r>
    <x v="248"/>
    <x v="248"/>
    <n v="19"/>
    <x v="0"/>
    <s v="Lake Timothy"/>
    <s v="Nevada"/>
    <s v="USA"/>
    <s v="Gold"/>
    <s v="Gold"/>
    <s v="Nicholas Webb"/>
    <x v="248"/>
  </r>
  <r>
    <x v="249"/>
    <x v="249"/>
    <n v="41"/>
    <x v="1"/>
    <s v="Garciamouth"/>
    <s v="New York"/>
    <s v="USA"/>
    <s v="Gold"/>
    <s v="Gold"/>
    <s v="Lauren George"/>
    <x v="249"/>
  </r>
  <r>
    <x v="250"/>
    <x v="250"/>
    <n v="48"/>
    <x v="0"/>
    <s v="New Daniel"/>
    <s v="Delaware"/>
    <s v="USA"/>
    <s v="Platinum"/>
    <s v="Platinum"/>
    <s v="Veronica Newman"/>
    <x v="250"/>
  </r>
  <r>
    <x v="251"/>
    <x v="251"/>
    <n v="64"/>
    <x v="0"/>
    <s v="Port Coreyfort"/>
    <s v="Alabama"/>
    <s v="USA"/>
    <s v="Silver"/>
    <s v="Silver"/>
    <s v="Tyler Garner"/>
    <x v="251"/>
  </r>
  <r>
    <x v="252"/>
    <x v="252"/>
    <n v="26"/>
    <x v="0"/>
    <s v="Robinborough"/>
    <s v="South Dakota"/>
    <s v="USA"/>
    <s v="Silver"/>
    <s v="Silver"/>
    <s v="John Mccoy"/>
    <x v="252"/>
  </r>
  <r>
    <x v="253"/>
    <x v="253"/>
    <n v="32"/>
    <x v="0"/>
    <s v="New Maria"/>
    <s v="Wisconsin"/>
    <s v="USA"/>
    <s v="Bronze"/>
    <s v="Bronze"/>
    <s v="Dr. Ashley Yates Md"/>
    <x v="253"/>
  </r>
  <r>
    <x v="254"/>
    <x v="254"/>
    <n v="34"/>
    <x v="0"/>
    <s v="Masseyland"/>
    <s v="Alaska"/>
    <s v="USA"/>
    <s v="Silver"/>
    <s v="Silver"/>
    <s v="Linda Kline"/>
    <x v="254"/>
  </r>
  <r>
    <x v="255"/>
    <x v="255"/>
    <n v="21"/>
    <x v="0"/>
    <s v="Jasonton"/>
    <s v="Ohio"/>
    <s v="USA"/>
    <s v="Gold"/>
    <s v="Gold"/>
    <s v="Damon Perez"/>
    <x v="255"/>
  </r>
  <r>
    <x v="256"/>
    <x v="256"/>
    <n v="57"/>
    <x v="0"/>
    <s v="Lake Christopher"/>
    <s v="Arkansas"/>
    <s v="USA"/>
    <s v="Platinum"/>
    <s v="Platinum"/>
    <s v="Kristen Fischer"/>
    <x v="256"/>
  </r>
  <r>
    <x v="257"/>
    <x v="257"/>
    <n v="42"/>
    <x v="0"/>
    <s v="Karenmouth"/>
    <s v="Massachusetts"/>
    <s v="USA"/>
    <s v="Silver"/>
    <s v="Silver"/>
    <s v="Christopher David"/>
    <x v="257"/>
  </r>
  <r>
    <x v="258"/>
    <x v="258"/>
    <n v="24"/>
    <x v="1"/>
    <s v="East Richard"/>
    <s v="Texas"/>
    <s v="USA"/>
    <s v="Platinum"/>
    <s v="Platinum"/>
    <s v="Sarah Stewart"/>
    <x v="258"/>
  </r>
  <r>
    <x v="259"/>
    <x v="259"/>
    <n v="32"/>
    <x v="1"/>
    <s v="South Kathrynmouth"/>
    <s v="Oklahoma"/>
    <s v="USA"/>
    <s v="Silver"/>
    <s v="Silver"/>
    <s v="Beth Allen"/>
    <x v="259"/>
  </r>
  <r>
    <x v="260"/>
    <x v="260"/>
    <n v="63"/>
    <x v="1"/>
    <s v="North Jonathon"/>
    <s v="Arizona"/>
    <s v="USA"/>
    <s v="Platinum"/>
    <s v="Platinum"/>
    <s v="Russell Lamb"/>
    <x v="260"/>
  </r>
  <r>
    <x v="261"/>
    <x v="261"/>
    <n v="27"/>
    <x v="1"/>
    <s v="Lake Saramouth"/>
    <s v="Oregon"/>
    <s v="USA"/>
    <s v="Silver"/>
    <s v="Silver"/>
    <s v="Carol Bishop"/>
    <x v="261"/>
  </r>
  <r>
    <x v="262"/>
    <x v="262"/>
    <n v="60"/>
    <x v="1"/>
    <s v="New Ana"/>
    <s v="Montana"/>
    <s v="USA"/>
    <s v="Silver"/>
    <s v="Silver"/>
    <s v="Katherine Cowan"/>
    <x v="262"/>
  </r>
  <r>
    <x v="263"/>
    <x v="263"/>
    <n v="50"/>
    <x v="0"/>
    <s v="Sallymouth"/>
    <s v="Louisiana"/>
    <s v="USA"/>
    <s v="Bronze"/>
    <s v="Bronze"/>
    <s v="Crystal Davis"/>
    <x v="263"/>
  </r>
  <r>
    <x v="264"/>
    <x v="264"/>
    <n v="25"/>
    <x v="0"/>
    <s v="Grahamfurt"/>
    <s v="Wyoming"/>
    <s v="USA"/>
    <s v="Gold"/>
    <s v="Gold"/>
    <s v="Matthew Payne"/>
    <x v="264"/>
  </r>
  <r>
    <x v="265"/>
    <x v="265"/>
    <n v="38"/>
    <x v="0"/>
    <s v="West Jamieport"/>
    <s v="Tennessee"/>
    <s v="USA"/>
    <s v="Silver"/>
    <s v="Silver"/>
    <s v="Tracy Kelly"/>
    <x v="265"/>
  </r>
  <r>
    <x v="266"/>
    <x v="266"/>
    <n v="32"/>
    <x v="1"/>
    <s v="South Gina"/>
    <s v="Kentucky"/>
    <s v="USA"/>
    <s v="Bronze"/>
    <s v="Bronze"/>
    <s v="Cynthia Payne"/>
    <x v="266"/>
  </r>
  <r>
    <x v="267"/>
    <x v="267"/>
    <n v="18"/>
    <x v="0"/>
    <s v="North Nicholas"/>
    <s v="Montana"/>
    <s v="USA"/>
    <s v="Bronze"/>
    <s v="Bronze"/>
    <s v="Zachary Shelton"/>
    <x v="267"/>
  </r>
  <r>
    <x v="268"/>
    <x v="268"/>
    <n v="53"/>
    <x v="1"/>
    <s v="Ryanberg"/>
    <s v="Minnesota"/>
    <s v="USA"/>
    <s v="Bronze"/>
    <s v="Bronze"/>
    <s v="Kevin Orr"/>
    <x v="268"/>
  </r>
  <r>
    <x v="269"/>
    <x v="269"/>
    <n v="45"/>
    <x v="1"/>
    <s v="Emilytown"/>
    <s v="California"/>
    <s v="USA"/>
    <s v="Silver"/>
    <s v="Silver"/>
    <s v="Tyrone Olson"/>
    <x v="269"/>
  </r>
  <r>
    <x v="270"/>
    <x v="270"/>
    <n v="31"/>
    <x v="1"/>
    <s v="Ramosmouth"/>
    <s v="Louisiana"/>
    <s v="USA"/>
    <s v="Gold"/>
    <s v="Gold"/>
    <s v="Brian Garcia"/>
    <x v="270"/>
  </r>
  <r>
    <x v="271"/>
    <x v="271"/>
    <n v="64"/>
    <x v="0"/>
    <s v="North Stephanie"/>
    <s v="Nebraska"/>
    <s v="USA"/>
    <s v="Platinum"/>
    <s v="Platinum"/>
    <s v="Daisy Johnson Dds"/>
    <x v="271"/>
  </r>
  <r>
    <x v="272"/>
    <x v="272"/>
    <n v="48"/>
    <x v="1"/>
    <s v="Welchview"/>
    <s v="California"/>
    <s v="USA"/>
    <s v="Gold"/>
    <s v="Gold"/>
    <s v="Adam Rowland"/>
    <x v="272"/>
  </r>
  <r>
    <x v="273"/>
    <x v="273"/>
    <n v="23"/>
    <x v="0"/>
    <s v="North Roy"/>
    <s v="Mississippi"/>
    <s v="USA"/>
    <s v="Bronze"/>
    <s v="Bronze"/>
    <s v="Samantha Robinson"/>
    <x v="273"/>
  </r>
  <r>
    <x v="274"/>
    <x v="274"/>
    <n v="38"/>
    <x v="0"/>
    <s v="Edwardborough"/>
    <s v="Vermont"/>
    <s v="USA"/>
    <s v="Silver"/>
    <s v="Silver"/>
    <s v="Sarah Lane"/>
    <x v="274"/>
  </r>
  <r>
    <x v="275"/>
    <x v="275"/>
    <n v="22"/>
    <x v="0"/>
    <s v="North Austinport"/>
    <s v="Kentucky"/>
    <s v="USA"/>
    <s v="Gold"/>
    <s v="Gold"/>
    <s v="Shannon Miller"/>
    <x v="275"/>
  </r>
  <r>
    <x v="276"/>
    <x v="276"/>
    <n v="38"/>
    <x v="0"/>
    <s v="Ericshire"/>
    <s v="Nevada"/>
    <s v="USA"/>
    <s v="Gold"/>
    <s v="Gold"/>
    <s v="Arthur Warren"/>
    <x v="276"/>
  </r>
  <r>
    <x v="277"/>
    <x v="277"/>
    <n v="22"/>
    <x v="1"/>
    <s v="Lake Nicole"/>
    <s v="Colorado"/>
    <s v="USA"/>
    <s v="Platinum"/>
    <s v="Platinum"/>
    <s v="Jeffrey Gomez"/>
    <x v="277"/>
  </r>
  <r>
    <x v="278"/>
    <x v="278"/>
    <n v="42"/>
    <x v="1"/>
    <s v="Port Mariastad"/>
    <s v="Rhode Island"/>
    <s v="USA"/>
    <s v="Platinum"/>
    <s v="Platinum"/>
    <s v="Stephen Fowler"/>
    <x v="278"/>
  </r>
  <r>
    <x v="279"/>
    <x v="279"/>
    <n v="21"/>
    <x v="1"/>
    <s v="Gilltown"/>
    <s v="Ohio"/>
    <s v="USA"/>
    <s v="Bronze"/>
    <s v="Bronze"/>
    <s v="Aaron Luna"/>
    <x v="279"/>
  </r>
  <r>
    <x v="280"/>
    <x v="280"/>
    <n v="48"/>
    <x v="0"/>
    <s v="Morrisville"/>
    <s v="Hawaii"/>
    <s v="USA"/>
    <s v="Bronze"/>
    <s v="Bronze"/>
    <s v="Antonio Leon"/>
    <x v="280"/>
  </r>
  <r>
    <x v="281"/>
    <x v="281"/>
    <n v="59"/>
    <x v="0"/>
    <s v="North Joshualand"/>
    <s v="Connecticut"/>
    <s v="USA"/>
    <s v="Platinum"/>
    <s v="Platinum"/>
    <s v="Brittany Watson"/>
    <x v="281"/>
  </r>
  <r>
    <x v="282"/>
    <x v="282"/>
    <n v="46"/>
    <x v="1"/>
    <s v="Spencermouth"/>
    <s v="New Jersey"/>
    <s v="USA"/>
    <s v="Gold"/>
    <s v="Gold"/>
    <s v="Kristi Lopez"/>
    <x v="282"/>
  </r>
  <r>
    <x v="283"/>
    <x v="283"/>
    <n v="54"/>
    <x v="1"/>
    <s v="Garciaborough"/>
    <s v="Wyoming"/>
    <s v="USA"/>
    <s v="Silver"/>
    <s v="Silver"/>
    <s v="Bryan Garcia"/>
    <x v="283"/>
  </r>
  <r>
    <x v="284"/>
    <x v="284"/>
    <n v="54"/>
    <x v="0"/>
    <s v="Patrickshire"/>
    <s v="Connecticut"/>
    <s v="USA"/>
    <s v="Gold"/>
    <s v="Gold"/>
    <s v="Hunter Sutton"/>
    <x v="284"/>
  </r>
  <r>
    <x v="285"/>
    <x v="285"/>
    <n v="46"/>
    <x v="1"/>
    <s v="North Robert"/>
    <s v="Massachusetts"/>
    <s v="USA"/>
    <s v="Silver"/>
    <s v="Silver"/>
    <s v="Donna Guerra"/>
    <x v="285"/>
  </r>
  <r>
    <x v="286"/>
    <x v="286"/>
    <n v="22"/>
    <x v="0"/>
    <s v="Port Tonyfort"/>
    <s v="South Dakota"/>
    <s v="USA"/>
    <s v="Silver"/>
    <s v="Silver"/>
    <s v="Tommy Roberts"/>
    <x v="286"/>
  </r>
  <r>
    <x v="287"/>
    <x v="287"/>
    <n v="22"/>
    <x v="1"/>
    <s v="Millerfort"/>
    <s v="Vermont"/>
    <s v="USA"/>
    <s v="Gold"/>
    <s v="Gold"/>
    <s v="Cynthia Roberts"/>
    <x v="287"/>
  </r>
  <r>
    <x v="288"/>
    <x v="288"/>
    <n v="58"/>
    <x v="0"/>
    <s v="North Joseside"/>
    <s v="Connecticut"/>
    <s v="USA"/>
    <s v="Gold"/>
    <s v="Gold"/>
    <s v="Misty Ferguson"/>
    <x v="288"/>
  </r>
  <r>
    <x v="289"/>
    <x v="289"/>
    <n v="45"/>
    <x v="0"/>
    <s v="North Brookestad"/>
    <s v="Ohio"/>
    <s v="USA"/>
    <s v="Bronze"/>
    <s v="Bronze"/>
    <s v="Jennifer Figueroa"/>
    <x v="289"/>
  </r>
  <r>
    <x v="290"/>
    <x v="290"/>
    <n v="52"/>
    <x v="1"/>
    <s v="Sherimouth"/>
    <s v="Virginia"/>
    <s v="USA"/>
    <s v="Silver"/>
    <s v="Silver"/>
    <s v="Chase Williams Md"/>
    <x v="290"/>
  </r>
  <r>
    <x v="291"/>
    <x v="291"/>
    <n v="40"/>
    <x v="1"/>
    <s v="West Beverlymouth"/>
    <s v="Missouri"/>
    <s v="USA"/>
    <s v="Bronze"/>
    <s v="Bronze"/>
    <s v="James Powell"/>
    <x v="291"/>
  </r>
  <r>
    <x v="292"/>
    <x v="292"/>
    <n v="30"/>
    <x v="0"/>
    <s v="Danielland"/>
    <s v="Minnesota"/>
    <s v="USA"/>
    <s v="Silver"/>
    <s v="Silver"/>
    <s v="Ricardo Jones"/>
    <x v="292"/>
  </r>
  <r>
    <x v="293"/>
    <x v="293"/>
    <n v="56"/>
    <x v="1"/>
    <s v="North Daniel"/>
    <s v="Louisiana"/>
    <s v="USA"/>
    <s v="Platinum"/>
    <s v="Platinum"/>
    <s v="Gloria Taylor"/>
    <x v="293"/>
  </r>
  <r>
    <x v="294"/>
    <x v="294"/>
    <n v="29"/>
    <x v="0"/>
    <s v="Port Richard"/>
    <s v="Montana"/>
    <s v="USA"/>
    <s v="Platinum"/>
    <s v="Platinum"/>
    <s v="Lisa Chandler"/>
    <x v="294"/>
  </r>
  <r>
    <x v="295"/>
    <x v="295"/>
    <n v="19"/>
    <x v="1"/>
    <s v="North Michelleport"/>
    <s v="Kansas"/>
    <s v="USA"/>
    <s v="Bronze"/>
    <s v="Bronze"/>
    <s v="Crystal Waters"/>
    <x v="295"/>
  </r>
  <r>
    <x v="296"/>
    <x v="296"/>
    <n v="28"/>
    <x v="1"/>
    <s v="South David"/>
    <s v="West Virginia"/>
    <s v="USA"/>
    <s v="Bronze"/>
    <s v="Bronze"/>
    <s v="Jared Moran"/>
    <x v="296"/>
  </r>
  <r>
    <x v="297"/>
    <x v="297"/>
    <n v="47"/>
    <x v="1"/>
    <s v="Lake Brett"/>
    <s v="Missouri"/>
    <s v="USA"/>
    <s v="Silver"/>
    <s v="Silver"/>
    <s v="Jennifer Carr"/>
    <x v="297"/>
  </r>
  <r>
    <x v="298"/>
    <x v="298"/>
    <n v="64"/>
    <x v="0"/>
    <s v="New Joshuatown"/>
    <s v="Maine"/>
    <s v="USA"/>
    <s v="Platinum"/>
    <s v="Platinum"/>
    <s v="Tracy Stephens"/>
    <x v="298"/>
  </r>
  <r>
    <x v="299"/>
    <x v="299"/>
    <n v="48"/>
    <x v="1"/>
    <s v="West Robinmouth"/>
    <s v="Louisiana"/>
    <s v="USA"/>
    <s v="Platinum"/>
    <s v="Platinum"/>
    <s v="Stephanie Jacobs"/>
    <x v="299"/>
  </r>
  <r>
    <x v="300"/>
    <x v="300"/>
    <n v="29"/>
    <x v="0"/>
    <s v="Lake Melissashire"/>
    <s v="Oregon"/>
    <s v="USA"/>
    <s v="Silver"/>
    <s v="Silver"/>
    <s v="Matthew Avery"/>
    <x v="300"/>
  </r>
  <r>
    <x v="301"/>
    <x v="301"/>
    <n v="50"/>
    <x v="0"/>
    <s v="West Bruceburgh"/>
    <s v="Virginia"/>
    <s v="USA"/>
    <s v="Gold"/>
    <s v="Gold"/>
    <s v="Ryan Kane"/>
    <x v="301"/>
  </r>
  <r>
    <x v="302"/>
    <x v="302"/>
    <n v="36"/>
    <x v="0"/>
    <s v="Lake Charlotte"/>
    <s v="Arizona"/>
    <s v="USA"/>
    <s v="Gold"/>
    <s v="Gold"/>
    <s v="Edward Cole"/>
    <x v="302"/>
  </r>
  <r>
    <x v="303"/>
    <x v="303"/>
    <n v="23"/>
    <x v="1"/>
    <s v="East Johntown"/>
    <s v="Delaware"/>
    <s v="USA"/>
    <s v="Platinum"/>
    <s v="Platinum"/>
    <s v="John Sloan"/>
    <x v="303"/>
  </r>
  <r>
    <x v="304"/>
    <x v="304"/>
    <n v="41"/>
    <x v="0"/>
    <s v="Port Jenniferton"/>
    <s v="Kansas"/>
    <s v="USA"/>
    <s v="Silver"/>
    <s v="Silver"/>
    <s v="Miss Alexandria Li Dvm"/>
    <x v="304"/>
  </r>
  <r>
    <x v="305"/>
    <x v="305"/>
    <n v="64"/>
    <x v="0"/>
    <s v="West Joseph"/>
    <s v="Washington"/>
    <s v="USA"/>
    <s v="Platinum"/>
    <s v="Platinum"/>
    <s v="Roberta Green"/>
    <x v="305"/>
  </r>
  <r>
    <x v="306"/>
    <x v="306"/>
    <n v="44"/>
    <x v="0"/>
    <s v="New Nicholasstad"/>
    <s v="Tennessee"/>
    <s v="USA"/>
    <s v="Platinum"/>
    <s v="Platinum"/>
    <s v="Angela Robinson"/>
    <x v="306"/>
  </r>
  <r>
    <x v="307"/>
    <x v="307"/>
    <n v="56"/>
    <x v="1"/>
    <s v="West Patriciaview"/>
    <s v="Alabama"/>
    <s v="USA"/>
    <s v="Bronze"/>
    <s v="Bronze"/>
    <s v="Brandy Thompson"/>
    <x v="307"/>
  </r>
  <r>
    <x v="308"/>
    <x v="308"/>
    <n v="60"/>
    <x v="1"/>
    <s v="Sarahland"/>
    <s v="Iowa"/>
    <s v="USA"/>
    <s v="Gold"/>
    <s v="Gold"/>
    <s v="Jennifer Zamora"/>
    <x v="308"/>
  </r>
  <r>
    <x v="309"/>
    <x v="309"/>
    <n v="41"/>
    <x v="1"/>
    <s v="Randychester"/>
    <s v="California"/>
    <s v="USA"/>
    <s v="Bronze"/>
    <s v="Bronze"/>
    <s v="Stacy Collins"/>
    <x v="309"/>
  </r>
  <r>
    <x v="310"/>
    <x v="310"/>
    <n v="20"/>
    <x v="0"/>
    <s v="Joelside"/>
    <s v="Vermont"/>
    <s v="USA"/>
    <s v="Silver"/>
    <s v="Silver"/>
    <s v="Kara Dodson"/>
    <x v="310"/>
  </r>
  <r>
    <x v="311"/>
    <x v="311"/>
    <n v="35"/>
    <x v="0"/>
    <s v="Port Edwardmouth"/>
    <s v="Oregon"/>
    <s v="USA"/>
    <s v="Platinum"/>
    <s v="Platinum"/>
    <s v="Kevin Larson"/>
    <x v="311"/>
  </r>
  <r>
    <x v="312"/>
    <x v="312"/>
    <n v="47"/>
    <x v="1"/>
    <s v="Brianchester"/>
    <s v="Delaware"/>
    <s v="USA"/>
    <s v="Silver"/>
    <s v="Silver"/>
    <s v="Jason Mullins"/>
    <x v="312"/>
  </r>
  <r>
    <x v="313"/>
    <x v="313"/>
    <n v="62"/>
    <x v="0"/>
    <s v="Brownburgh"/>
    <s v="Maryland"/>
    <s v="USA"/>
    <s v="Platinum"/>
    <s v="Platinum"/>
    <s v="Elizabeth Jones"/>
    <x v="313"/>
  </r>
  <r>
    <x v="314"/>
    <x v="314"/>
    <n v="53"/>
    <x v="1"/>
    <s v="Anitaland"/>
    <s v="Washington"/>
    <s v="USA"/>
    <s v="Silver"/>
    <s v="Silver"/>
    <s v="Elizabeth Johnson"/>
    <x v="314"/>
  </r>
  <r>
    <x v="315"/>
    <x v="315"/>
    <n v="49"/>
    <x v="0"/>
    <s v="Port Chad"/>
    <s v="Massachusetts"/>
    <s v="USA"/>
    <s v="Silver"/>
    <s v="Silver"/>
    <s v="William Rodriguez"/>
    <x v="315"/>
  </r>
  <r>
    <x v="316"/>
    <x v="316"/>
    <n v="34"/>
    <x v="0"/>
    <s v="Lake James"/>
    <s v="Maryland"/>
    <s v="USA"/>
    <s v="Gold"/>
    <s v="Gold"/>
    <s v="Robert House"/>
    <x v="316"/>
  </r>
  <r>
    <x v="317"/>
    <x v="317"/>
    <n v="64"/>
    <x v="1"/>
    <s v="Richardsport"/>
    <s v="New Hampshire"/>
    <s v="USA"/>
    <s v="Gold"/>
    <s v="Gold"/>
    <s v="Tiffany Williams"/>
    <x v="317"/>
  </r>
  <r>
    <x v="318"/>
    <x v="318"/>
    <n v="25"/>
    <x v="0"/>
    <s v="Monicaview"/>
    <s v="Kansas"/>
    <s v="USA"/>
    <s v="Platinum"/>
    <s v="Platinum"/>
    <s v="Madison Wright"/>
    <x v="318"/>
  </r>
  <r>
    <x v="319"/>
    <x v="319"/>
    <n v="54"/>
    <x v="0"/>
    <s v="West Mathewside"/>
    <s v="Mississippi"/>
    <s v="USA"/>
    <s v="Platinum"/>
    <s v="Platinum"/>
    <s v="Casey Simpson"/>
    <x v="319"/>
  </r>
  <r>
    <x v="320"/>
    <x v="320"/>
    <n v="34"/>
    <x v="1"/>
    <s v="South Darrenland"/>
    <s v="Iowa"/>
    <s v="USA"/>
    <s v="Bronze"/>
    <s v="Bronze"/>
    <s v="Jessica Gonzalez"/>
    <x v="320"/>
  </r>
  <r>
    <x v="321"/>
    <x v="321"/>
    <n v="21"/>
    <x v="1"/>
    <s v="Lake Alice"/>
    <s v="Tennessee"/>
    <s v="USA"/>
    <s v="Bronze"/>
    <s v="Bronze"/>
    <s v="Darren Burton"/>
    <x v="321"/>
  </r>
  <r>
    <x v="322"/>
    <x v="322"/>
    <n v="54"/>
    <x v="0"/>
    <s v="North Nicole"/>
    <s v="Wyoming"/>
    <s v="USA"/>
    <s v="Bronze"/>
    <s v="Bronze"/>
    <s v="Samuel Arias"/>
    <x v="322"/>
  </r>
  <r>
    <x v="323"/>
    <x v="323"/>
    <n v="64"/>
    <x v="1"/>
    <s v="Whiteport"/>
    <s v="North Carolina"/>
    <s v="USA"/>
    <s v="Platinum"/>
    <s v="Platinum"/>
    <s v="Kristy Dunlap"/>
    <x v="323"/>
  </r>
  <r>
    <x v="324"/>
    <x v="324"/>
    <n v="58"/>
    <x v="0"/>
    <s v="South Zacharychester"/>
    <s v="Oklahoma"/>
    <s v="USA"/>
    <s v="Bronze"/>
    <s v="Bronze"/>
    <s v="Alex Mann Ii"/>
    <x v="324"/>
  </r>
  <r>
    <x v="325"/>
    <x v="325"/>
    <n v="60"/>
    <x v="0"/>
    <s v="East Matthew"/>
    <s v="Wisconsin"/>
    <s v="USA"/>
    <s v="Bronze"/>
    <s v="Bronze"/>
    <s v="Andrew Smith"/>
    <x v="325"/>
  </r>
  <r>
    <x v="326"/>
    <x v="326"/>
    <n v="58"/>
    <x v="1"/>
    <s v="Cindyton"/>
    <s v="Rhode Island"/>
    <s v="USA"/>
    <s v="Gold"/>
    <s v="Gold"/>
    <s v="Robert King"/>
    <x v="326"/>
  </r>
  <r>
    <x v="327"/>
    <x v="327"/>
    <n v="62"/>
    <x v="1"/>
    <s v="Kellybury"/>
    <s v="New York"/>
    <s v="USA"/>
    <s v="Bronze"/>
    <s v="Bronze"/>
    <s v="Reginald Willis"/>
    <x v="327"/>
  </r>
  <r>
    <x v="328"/>
    <x v="328"/>
    <n v="46"/>
    <x v="0"/>
    <s v="Jessicaport"/>
    <s v="Minnesota"/>
    <s v="USA"/>
    <s v="Platinum"/>
    <s v="Platinum"/>
    <s v="Mario Harvey Jr."/>
    <x v="328"/>
  </r>
  <r>
    <x v="329"/>
    <x v="329"/>
    <n v="62"/>
    <x v="1"/>
    <s v="Tiffanyshire"/>
    <s v="Minnesota"/>
    <s v="USA"/>
    <s v="Bronze"/>
    <s v="Bronze"/>
    <s v="Victor Mcintosh"/>
    <x v="329"/>
  </r>
  <r>
    <x v="330"/>
    <x v="330"/>
    <n v="54"/>
    <x v="0"/>
    <s v="South Jasontown"/>
    <s v="Illinois"/>
    <s v="USA"/>
    <s v="Platinum"/>
    <s v="Platinum"/>
    <s v="Pamela Mcguire"/>
    <x v="330"/>
  </r>
  <r>
    <x v="331"/>
    <x v="331"/>
    <n v="38"/>
    <x v="1"/>
    <s v="North Kathytown"/>
    <s v="Montana"/>
    <s v="USA"/>
    <s v="Bronze"/>
    <s v="Bronze"/>
    <s v="Maria Phillips"/>
    <x v="331"/>
  </r>
  <r>
    <x v="332"/>
    <x v="332"/>
    <n v="34"/>
    <x v="1"/>
    <s v="New Paulstad"/>
    <s v="Hawaii"/>
    <s v="USA"/>
    <s v="Bronze"/>
    <s v="Bronze"/>
    <s v="Dr. Lindsay Hanna"/>
    <x v="332"/>
  </r>
  <r>
    <x v="333"/>
    <x v="333"/>
    <n v="64"/>
    <x v="1"/>
    <s v="Johnsonbury"/>
    <s v="Georgia"/>
    <s v="USA"/>
    <s v="Gold"/>
    <s v="Gold"/>
    <s v="Teresa Johnson"/>
    <x v="333"/>
  </r>
  <r>
    <x v="334"/>
    <x v="334"/>
    <n v="50"/>
    <x v="1"/>
    <s v="Donaldsontown"/>
    <s v="Connecticut"/>
    <s v="USA"/>
    <s v="Silver"/>
    <s v="Silver"/>
    <s v="Mr. Christopher Sims"/>
    <x v="334"/>
  </r>
  <r>
    <x v="335"/>
    <x v="335"/>
    <n v="37"/>
    <x v="0"/>
    <s v="West Brendamouth"/>
    <s v="North Carolina"/>
    <s v="USA"/>
    <s v="Platinum"/>
    <s v="Platinum"/>
    <s v="Jennifer Woods"/>
    <x v="335"/>
  </r>
  <r>
    <x v="336"/>
    <x v="336"/>
    <n v="58"/>
    <x v="1"/>
    <s v="North Michaelborough"/>
    <s v="Oregon"/>
    <s v="USA"/>
    <s v="Silver"/>
    <s v="Silver"/>
    <s v="John Jones"/>
    <x v="336"/>
  </r>
  <r>
    <x v="337"/>
    <x v="337"/>
    <n v="40"/>
    <x v="1"/>
    <s v="Ryanport"/>
    <s v="North Carolina"/>
    <s v="USA"/>
    <s v="Bronze"/>
    <s v="Bronze"/>
    <s v="Carol Lewis"/>
    <x v="337"/>
  </r>
  <r>
    <x v="338"/>
    <x v="338"/>
    <n v="46"/>
    <x v="1"/>
    <s v="Hudsonfort"/>
    <s v="Connecticut"/>
    <s v="USA"/>
    <s v="Silver"/>
    <s v="Silver"/>
    <s v="Jasmine Snyder"/>
    <x v="338"/>
  </r>
  <r>
    <x v="339"/>
    <x v="339"/>
    <n v="52"/>
    <x v="1"/>
    <s v="Stevensbury"/>
    <s v="Arizona"/>
    <s v="USA"/>
    <s v="Platinum"/>
    <s v="Platinum"/>
    <s v="Mrs. Susan Buckley"/>
    <x v="339"/>
  </r>
  <r>
    <x v="340"/>
    <x v="340"/>
    <n v="27"/>
    <x v="0"/>
    <s v="Johntown"/>
    <s v="Colorado"/>
    <s v="USA"/>
    <s v="Bronze"/>
    <s v="Bronze"/>
    <s v="Eric Davis"/>
    <x v="340"/>
  </r>
  <r>
    <x v="341"/>
    <x v="341"/>
    <n v="56"/>
    <x v="1"/>
    <s v="Lake Alyssaburgh"/>
    <s v="Illinois"/>
    <s v="USA"/>
    <s v="Bronze"/>
    <s v="Bronze"/>
    <s v="Angela Williams"/>
    <x v="341"/>
  </r>
  <r>
    <x v="342"/>
    <x v="342"/>
    <n v="30"/>
    <x v="1"/>
    <s v="Amandaborough"/>
    <s v="Connecticut"/>
    <s v="USA"/>
    <s v="Bronze"/>
    <s v="Bronze"/>
    <s v="Michelle Cunningham"/>
    <x v="342"/>
  </r>
  <r>
    <x v="343"/>
    <x v="343"/>
    <n v="38"/>
    <x v="0"/>
    <s v="Cartershire"/>
    <s v="Virginia"/>
    <s v="USA"/>
    <s v="Bronze"/>
    <s v="Bronze"/>
    <s v="Ryan Moore"/>
    <x v="343"/>
  </r>
  <r>
    <x v="344"/>
    <x v="344"/>
    <n v="39"/>
    <x v="0"/>
    <s v="West Victoriaborough"/>
    <s v="New Mexico"/>
    <s v="USA"/>
    <s v="Gold"/>
    <s v="Gold"/>
    <s v="Evelyn Brown"/>
    <x v="344"/>
  </r>
  <r>
    <x v="345"/>
    <x v="345"/>
    <n v="33"/>
    <x v="0"/>
    <s v="North Jonathan"/>
    <s v="Oklahoma"/>
    <s v="USA"/>
    <s v="Bronze"/>
    <s v="Bronze"/>
    <s v="Daniel Nelson"/>
    <x v="345"/>
  </r>
  <r>
    <x v="346"/>
    <x v="346"/>
    <n v="58"/>
    <x v="1"/>
    <s v="Port Crystalberg"/>
    <s v="Tennessee"/>
    <s v="USA"/>
    <s v="Platinum"/>
    <s v="Platinum"/>
    <s v="John Jordan"/>
    <x v="346"/>
  </r>
  <r>
    <x v="347"/>
    <x v="347"/>
    <n v="39"/>
    <x v="1"/>
    <s v="Peggystad"/>
    <s v="Connecticut"/>
    <s v="USA"/>
    <s v="Gold"/>
    <s v="Gold"/>
    <s v="Justin Mason Dds"/>
    <x v="347"/>
  </r>
  <r>
    <x v="348"/>
    <x v="348"/>
    <n v="55"/>
    <x v="0"/>
    <s v="Shannonview"/>
    <s v="Pennsylvania"/>
    <s v="USA"/>
    <s v="Silver"/>
    <s v="Silver"/>
    <s v="Sherry Cabrera"/>
    <x v="348"/>
  </r>
  <r>
    <x v="349"/>
    <x v="349"/>
    <n v="31"/>
    <x v="0"/>
    <s v="New Angiefurt"/>
    <s v="Alaska"/>
    <s v="USA"/>
    <s v="Bronze"/>
    <s v="Bronze"/>
    <s v="Heather Valenzuela"/>
    <x v="349"/>
  </r>
  <r>
    <x v="350"/>
    <x v="350"/>
    <n v="26"/>
    <x v="0"/>
    <s v="Lake Allisonborough"/>
    <s v="Iowa"/>
    <s v="USA"/>
    <s v="Silver"/>
    <s v="Silver"/>
    <s v="Charles Miller"/>
    <x v="350"/>
  </r>
  <r>
    <x v="351"/>
    <x v="351"/>
    <n v="25"/>
    <x v="1"/>
    <s v="North Samuel"/>
    <s v="Nebraska"/>
    <s v="USA"/>
    <s v="Bronze"/>
    <s v="Bronze"/>
    <s v="Jeffrey Mccarthy"/>
    <x v="351"/>
  </r>
  <r>
    <x v="352"/>
    <x v="352"/>
    <n v="52"/>
    <x v="1"/>
    <s v="Port Saramouth"/>
    <s v="Wisconsin"/>
    <s v="USA"/>
    <s v="Silver"/>
    <s v="Silver"/>
    <s v="Michael Greene"/>
    <x v="352"/>
  </r>
  <r>
    <x v="353"/>
    <x v="353"/>
    <n v="56"/>
    <x v="1"/>
    <s v="Westbury"/>
    <s v="Oregon"/>
    <s v="USA"/>
    <s v="Platinum"/>
    <s v="Platinum"/>
    <s v="   Laura Green"/>
    <x v="353"/>
  </r>
  <r>
    <x v="354"/>
    <x v="354"/>
    <n v="38"/>
    <x v="0"/>
    <s v="Guerreroport"/>
    <s v="Connecticut"/>
    <s v="USA"/>
    <s v="Silver"/>
    <s v="Silver"/>
    <s v="Ryan Torres"/>
    <x v="354"/>
  </r>
  <r>
    <x v="355"/>
    <x v="355"/>
    <n v="20"/>
    <x v="0"/>
    <s v="North Johnfurt"/>
    <s v="Washington"/>
    <s v="USA"/>
    <s v="Gold"/>
    <s v="Gold"/>
    <s v="Carlos Flores"/>
    <x v="355"/>
  </r>
  <r>
    <x v="356"/>
    <x v="356"/>
    <n v="54"/>
    <x v="0"/>
    <s v="North Richard"/>
    <s v="Virginia"/>
    <s v="USA"/>
    <s v="Bronze"/>
    <s v="Bronze"/>
    <s v="Steve Hunt"/>
    <x v="356"/>
  </r>
  <r>
    <x v="357"/>
    <x v="357"/>
    <n v="41"/>
    <x v="0"/>
    <s v="Nealview"/>
    <s v="Tennessee"/>
    <s v="USA"/>
    <s v="Gold"/>
    <s v="Gold"/>
    <s v="Manuel Castillo"/>
    <x v="357"/>
  </r>
  <r>
    <x v="358"/>
    <x v="358"/>
    <n v="60"/>
    <x v="1"/>
    <s v="West Johnmouth"/>
    <s v="Mississippi"/>
    <s v="USA"/>
    <s v="Gold"/>
    <s v="Gold"/>
    <s v="Ashley Anderson"/>
    <x v="358"/>
  </r>
  <r>
    <x v="359"/>
    <x v="359"/>
    <n v="32"/>
    <x v="0"/>
    <s v="East Michaelton"/>
    <s v="Kansas"/>
    <s v="USA"/>
    <s v="Silver"/>
    <s v="Silver"/>
    <s v="Melanie Lam"/>
    <x v="359"/>
  </r>
  <r>
    <x v="360"/>
    <x v="360"/>
    <n v="34"/>
    <x v="0"/>
    <s v="Andersonside"/>
    <s v="Arkansas"/>
    <s v="USA"/>
    <s v="Platinum"/>
    <s v="Platinum"/>
    <s v="Denise Tate"/>
    <x v="360"/>
  </r>
  <r>
    <x v="361"/>
    <x v="361"/>
    <n v="64"/>
    <x v="0"/>
    <s v="New Jessechester"/>
    <s v="Indiana"/>
    <s v="USA"/>
    <s v="Platinum"/>
    <s v="Platinum"/>
    <s v="Natalie Johnson"/>
    <x v="361"/>
  </r>
  <r>
    <x v="362"/>
    <x v="362"/>
    <n v="60"/>
    <x v="0"/>
    <s v="Melvinton"/>
    <s v="Alaska"/>
    <s v="USA"/>
    <s v="Gold"/>
    <s v="Gold"/>
    <s v="Joshua Smith Dvm"/>
    <x v="362"/>
  </r>
  <r>
    <x v="363"/>
    <x v="363"/>
    <n v="23"/>
    <x v="0"/>
    <s v="Murphytown"/>
    <s v="Ohio"/>
    <s v="USA"/>
    <s v="Bronze"/>
    <s v="Bronze"/>
    <s v="Elizabeth Smith"/>
    <x v="363"/>
  </r>
  <r>
    <x v="364"/>
    <x v="364"/>
    <n v="58"/>
    <x v="0"/>
    <s v="Lake Johnside"/>
    <s v="Arizona"/>
    <s v="USA"/>
    <s v="Bronze"/>
    <s v="Bronze"/>
    <s v="Chloe Aguilar"/>
    <x v="364"/>
  </r>
  <r>
    <x v="365"/>
    <x v="365"/>
    <n v="63"/>
    <x v="1"/>
    <s v="Kellyside"/>
    <s v="Alaska"/>
    <s v="USA"/>
    <s v="Platinum"/>
    <s v="Platinum"/>
    <s v="Brandon Mcbride"/>
    <x v="365"/>
  </r>
  <r>
    <x v="366"/>
    <x v="366"/>
    <n v="40"/>
    <x v="1"/>
    <s v="North Theresa"/>
    <s v="Alabama"/>
    <s v="USA"/>
    <s v="Platinum"/>
    <s v="Platinum"/>
    <s v="Mallory Allen"/>
    <x v="366"/>
  </r>
  <r>
    <x v="367"/>
    <x v="367"/>
    <n v="51"/>
    <x v="0"/>
    <s v="Kaufmanfurt"/>
    <s v="Ohio"/>
    <s v="USA"/>
    <s v="Bronze"/>
    <s v="Bronze"/>
    <s v="Melinda Johnson"/>
    <x v="367"/>
  </r>
  <r>
    <x v="368"/>
    <x v="368"/>
    <n v="34"/>
    <x v="1"/>
    <s v="West Mathew"/>
    <s v="New York"/>
    <s v="USA"/>
    <s v="Platinum"/>
    <s v="Platinum"/>
    <s v="Miranda King"/>
    <x v="368"/>
  </r>
  <r>
    <x v="369"/>
    <x v="369"/>
    <n v="20"/>
    <x v="1"/>
    <s v="West Bruce"/>
    <s v="Vermont"/>
    <s v="USA"/>
    <s v="Platinum"/>
    <s v="Platinum"/>
    <s v="Gregory Allen"/>
    <x v="369"/>
  </r>
  <r>
    <x v="370"/>
    <x v="370"/>
    <n v="45"/>
    <x v="0"/>
    <s v="Millston"/>
    <s v="Indiana"/>
    <s v="USA"/>
    <s v="Silver"/>
    <s v="Silver"/>
    <s v="James Holloway Jr."/>
    <x v="370"/>
  </r>
  <r>
    <x v="371"/>
    <x v="371"/>
    <n v="21"/>
    <x v="1"/>
    <s v="Port Crystal"/>
    <s v="New Hampshire"/>
    <s v="USA"/>
    <s v="Platinum"/>
    <s v="Platinum"/>
    <s v="Michael Garner"/>
    <x v="371"/>
  </r>
  <r>
    <x v="372"/>
    <x v="372"/>
    <n v="28"/>
    <x v="0"/>
    <s v="Vincentside"/>
    <s v="Ohio"/>
    <s v="USA"/>
    <s v="Bronze"/>
    <s v="Bronze"/>
    <s v="Jacqueline Anthony"/>
    <x v="372"/>
  </r>
  <r>
    <x v="373"/>
    <x v="373"/>
    <n v="37"/>
    <x v="1"/>
    <s v="Simpsonfort"/>
    <s v="Maine"/>
    <s v="USA"/>
    <s v="Gold"/>
    <s v="Gold"/>
    <s v="James Orozco"/>
    <x v="373"/>
  </r>
  <r>
    <x v="374"/>
    <x v="374"/>
    <n v="60"/>
    <x v="0"/>
    <s v="Andersonburgh"/>
    <s v="Hawaii"/>
    <s v="USA"/>
    <s v="Platinum"/>
    <s v="Platinum"/>
    <s v="Emma Wilson"/>
    <x v="374"/>
  </r>
  <r>
    <x v="375"/>
    <x v="375"/>
    <n v="26"/>
    <x v="0"/>
    <s v="Port Richardshire"/>
    <s v="Minnesota"/>
    <s v="USA"/>
    <s v="Platinum"/>
    <s v="Platinum"/>
    <s v="Joshua Bell"/>
    <x v="375"/>
  </r>
  <r>
    <x v="376"/>
    <x v="376"/>
    <n v="30"/>
    <x v="0"/>
    <s v="Chambersberg"/>
    <s v="Connecticut"/>
    <s v="USA"/>
    <s v="Bronze"/>
    <s v="Bronze"/>
    <s v="Michele Burke"/>
    <x v="376"/>
  </r>
  <r>
    <x v="377"/>
    <x v="377"/>
    <n v="39"/>
    <x v="1"/>
    <s v="Nathanshire"/>
    <s v="Maine"/>
    <s v="USA"/>
    <s v="Gold"/>
    <s v="Gold"/>
    <s v="Charles Conley"/>
    <x v="377"/>
  </r>
  <r>
    <x v="378"/>
    <x v="378"/>
    <n v="44"/>
    <x v="1"/>
    <s v="Fischerborough"/>
    <s v="Delaware"/>
    <s v="USA"/>
    <s v="Bronze"/>
    <s v="Bronze"/>
    <s v="Frank Stewart"/>
    <x v="378"/>
  </r>
  <r>
    <x v="379"/>
    <x v="379"/>
    <n v="34"/>
    <x v="1"/>
    <s v="West Jeffreyburgh"/>
    <s v="Iowa"/>
    <s v="USA"/>
    <s v="Gold"/>
    <s v="Gold"/>
    <s v="Tanya Lopez"/>
    <x v="379"/>
  </r>
  <r>
    <x v="380"/>
    <x v="380"/>
    <n v="23"/>
    <x v="0"/>
    <s v="South Cassandrachester"/>
    <s v="Rhode Island"/>
    <s v="USA"/>
    <s v="Gold"/>
    <s v="Gold"/>
    <s v="Shelley Ponce"/>
    <x v="380"/>
  </r>
  <r>
    <x v="381"/>
    <x v="381"/>
    <n v="50"/>
    <x v="0"/>
    <s v="Andrewsland"/>
    <s v="Alabama"/>
    <s v="USA"/>
    <s v="Silver"/>
    <s v="Silver"/>
    <s v="Erika Padilla"/>
    <x v="381"/>
  </r>
  <r>
    <x v="382"/>
    <x v="382"/>
    <n v="20"/>
    <x v="1"/>
    <s v="Novakstad"/>
    <s v="California"/>
    <s v="USA"/>
    <s v="Gold"/>
    <s v="Gold"/>
    <s v="Martha Brown"/>
    <x v="382"/>
  </r>
  <r>
    <x v="383"/>
    <x v="383"/>
    <n v="27"/>
    <x v="1"/>
    <s v="Jennifertown"/>
    <s v="South Carolina"/>
    <s v="USA"/>
    <s v="Silver"/>
    <s v="Silver"/>
    <s v="Kristine Higgins"/>
    <x v="383"/>
  </r>
  <r>
    <x v="384"/>
    <x v="384"/>
    <n v="52"/>
    <x v="1"/>
    <s v="North Michael"/>
    <s v="Iowa"/>
    <s v="USA"/>
    <s v="Bronze"/>
    <s v="Bronze"/>
    <s v="Andrew Mason"/>
    <x v="384"/>
  </r>
  <r>
    <x v="385"/>
    <x v="385"/>
    <n v="60"/>
    <x v="0"/>
    <s v="Lake Brandontown"/>
    <s v="South Carolina"/>
    <s v="USA"/>
    <s v="Gold"/>
    <s v="Gold"/>
    <s v="Tammy Brennan"/>
    <x v="385"/>
  </r>
  <r>
    <x v="386"/>
    <x v="386"/>
    <n v="18"/>
    <x v="1"/>
    <s v="West Laura"/>
    <s v="Maryland"/>
    <s v="USA"/>
    <s v="Bronze"/>
    <s v="Bronze"/>
    <s v="Melanie Mitchell"/>
    <x v="386"/>
  </r>
  <r>
    <x v="387"/>
    <x v="387"/>
    <n v="28"/>
    <x v="1"/>
    <s v="New Dawn"/>
    <s v="New Jersey"/>
    <s v="USA"/>
    <s v="Silver"/>
    <s v="Silver"/>
    <s v="Timothy Gardner"/>
    <x v="387"/>
  </r>
  <r>
    <x v="388"/>
    <x v="388"/>
    <n v="53"/>
    <x v="0"/>
    <s v="Stevensshire"/>
    <s v="Missouri"/>
    <s v="USA"/>
    <s v="Platinum"/>
    <s v="Platinum"/>
    <s v="Timothy Valenzuela"/>
    <x v="388"/>
  </r>
  <r>
    <x v="389"/>
    <x v="389"/>
    <n v="50"/>
    <x v="0"/>
    <s v="Joseland"/>
    <s v="Nebraska"/>
    <s v="USA"/>
    <s v="Platinum"/>
    <s v="Platinum"/>
    <s v="Cynthia Lopez"/>
    <x v="389"/>
  </r>
  <r>
    <x v="390"/>
    <x v="390"/>
    <n v="56"/>
    <x v="0"/>
    <s v="Deniseberg"/>
    <s v="Arkansas"/>
    <s v="USA"/>
    <s v="Silver"/>
    <s v="Silver"/>
    <s v="Daniel Bell"/>
    <x v="390"/>
  </r>
  <r>
    <x v="391"/>
    <x v="391"/>
    <n v="40"/>
    <x v="1"/>
    <s v="Dawnstad"/>
    <s v="Oregon"/>
    <s v="USA"/>
    <s v="Bronze"/>
    <s v="Bronze"/>
    <s v="Heidi Tyler"/>
    <x v="391"/>
  </r>
  <r>
    <x v="392"/>
    <x v="392"/>
    <n v="46"/>
    <x v="0"/>
    <s v="Gutierrezstad"/>
    <s v="Missouri"/>
    <s v="USA"/>
    <s v="Gold"/>
    <s v="Gold"/>
    <s v="Jacqueline Payne"/>
    <x v="392"/>
  </r>
  <r>
    <x v="393"/>
    <x v="393"/>
    <n v="46"/>
    <x v="0"/>
    <s v="Stewartchester"/>
    <s v="Utah"/>
    <s v="USA"/>
    <s v="Bronze"/>
    <s v="Bronze"/>
    <s v="Michael Mcneil"/>
    <x v="393"/>
  </r>
  <r>
    <x v="394"/>
    <x v="394"/>
    <n v="43"/>
    <x v="1"/>
    <s v="Cannonberg"/>
    <s v="Connecticut"/>
    <s v="USA"/>
    <s v="Bronze"/>
    <s v="Bronze"/>
    <s v="Alejandro Evans"/>
    <x v="394"/>
  </r>
  <r>
    <x v="395"/>
    <x v="395"/>
    <n v="50"/>
    <x v="0"/>
    <s v="Lake Morganland"/>
    <s v="Kansas"/>
    <s v="USA"/>
    <s v="Gold"/>
    <s v="Gold"/>
    <s v="Brandon Mcguire"/>
    <x v="395"/>
  </r>
  <r>
    <x v="396"/>
    <x v="396"/>
    <n v="25"/>
    <x v="1"/>
    <s v="Parkerview"/>
    <s v="New York"/>
    <s v="USA"/>
    <s v="Silver"/>
    <s v="Silver"/>
    <s v="Alexander Byrd"/>
    <x v="396"/>
  </r>
  <r>
    <x v="397"/>
    <x v="397"/>
    <n v="62"/>
    <x v="1"/>
    <s v="East Jennifer"/>
    <s v="Kansas"/>
    <s v="USA"/>
    <s v="Platinum"/>
    <s v="Platinum"/>
    <s v="Charles Norman Phd"/>
    <x v="397"/>
  </r>
  <r>
    <x v="398"/>
    <x v="398"/>
    <n v="54"/>
    <x v="0"/>
    <s v="Cheyenneborough"/>
    <s v="New Hampshire"/>
    <s v="USA"/>
    <s v="Bronze"/>
    <s v="Bronze"/>
    <s v="Jennifer Johnson"/>
    <x v="398"/>
  </r>
  <r>
    <x v="399"/>
    <x v="399"/>
    <n v="27"/>
    <x v="0"/>
    <s v="New Edward"/>
    <s v="Maine"/>
    <s v="USA"/>
    <s v="Bronze"/>
    <s v="Bronze"/>
    <s v="John Donaldson"/>
    <x v="399"/>
  </r>
  <r>
    <x v="400"/>
    <x v="400"/>
    <n v="57"/>
    <x v="1"/>
    <s v="Bookertown"/>
    <s v="Oklahoma"/>
    <s v="USA"/>
    <s v="Platinum"/>
    <s v="Platinum"/>
    <s v="Mark Rogers"/>
    <x v="400"/>
  </r>
  <r>
    <x v="401"/>
    <x v="401"/>
    <n v="51"/>
    <x v="1"/>
    <s v="Leahmouth"/>
    <s v="Nevada"/>
    <s v="USA"/>
    <s v="Platinum"/>
    <s v="Platinum"/>
    <s v="Terry Moses"/>
    <x v="401"/>
  </r>
  <r>
    <x v="402"/>
    <x v="402"/>
    <n v="31"/>
    <x v="0"/>
    <s v="Brandonville"/>
    <s v="Mississippi"/>
    <s v="USA"/>
    <s v="Bronze"/>
    <s v="Bronze"/>
    <s v="Cassandra Perez"/>
    <x v="402"/>
  </r>
  <r>
    <x v="403"/>
    <x v="403"/>
    <n v="34"/>
    <x v="0"/>
    <s v="Lake Lisaland"/>
    <s v="Louisiana"/>
    <s v="USA"/>
    <s v="Bronze"/>
    <s v="Bronze"/>
    <s v="Justin Ingram"/>
    <x v="403"/>
  </r>
  <r>
    <x v="404"/>
    <x v="404"/>
    <n v="22"/>
    <x v="1"/>
    <s v="South Angela"/>
    <s v="Arkansas"/>
    <s v="USA"/>
    <s v="Silver"/>
    <s v="Silver"/>
    <s v="David Ross"/>
    <x v="404"/>
  </r>
  <r>
    <x v="405"/>
    <x v="405"/>
    <n v="18"/>
    <x v="1"/>
    <s v="Garciaview"/>
    <s v="Louisiana"/>
    <s v="USA"/>
    <s v="Gold"/>
    <s v="Gold"/>
    <s v="Eric Wolfe"/>
    <x v="405"/>
  </r>
  <r>
    <x v="406"/>
    <x v="406"/>
    <n v="23"/>
    <x v="1"/>
    <s v="North Michaelfurt"/>
    <s v="Wisconsin"/>
    <s v="USA"/>
    <s v="Gold"/>
    <s v="Gold"/>
    <s v="David Lozano"/>
    <x v="406"/>
  </r>
  <r>
    <x v="407"/>
    <x v="407"/>
    <n v="33"/>
    <x v="0"/>
    <s v="Ashleymouth"/>
    <s v="Maryland"/>
    <s v="USA"/>
    <s v="Gold"/>
    <s v="Gold"/>
    <s v="Joseph Mendoza"/>
    <x v="407"/>
  </r>
  <r>
    <x v="408"/>
    <x v="408"/>
    <n v="36"/>
    <x v="0"/>
    <s v="Port Joshuaville"/>
    <s v="New Jersey"/>
    <s v="USA"/>
    <s v="Gold"/>
    <s v="Gold"/>
    <s v="Isabel Foster"/>
    <x v="408"/>
  </r>
  <r>
    <x v="409"/>
    <x v="409"/>
    <n v="55"/>
    <x v="0"/>
    <s v="Kathleenport"/>
    <s v="Wyoming"/>
    <s v="USA"/>
    <s v="Gold"/>
    <s v="Gold"/>
    <s v="Sarah Smith"/>
    <x v="409"/>
  </r>
  <r>
    <x v="410"/>
    <x v="410"/>
    <n v="48"/>
    <x v="1"/>
    <s v="South Edwin"/>
    <s v="New Jersey"/>
    <s v="USA"/>
    <s v="Bronze"/>
    <s v="Bronze"/>
    <s v="Jackie Thompson"/>
    <x v="410"/>
  </r>
  <r>
    <x v="411"/>
    <x v="411"/>
    <n v="63"/>
    <x v="0"/>
    <s v="West Rebecca"/>
    <s v="Ohio"/>
    <s v="USA"/>
    <s v="Silver"/>
    <s v="Silver"/>
    <s v="Katrina Perez"/>
    <x v="411"/>
  </r>
  <r>
    <x v="412"/>
    <x v="412"/>
    <n v="23"/>
    <x v="1"/>
    <s v="East Andrea"/>
    <s v="Michigan"/>
    <s v="USA"/>
    <s v="Gold"/>
    <s v="Gold"/>
    <s v="Shane Brown"/>
    <x v="412"/>
  </r>
  <r>
    <x v="413"/>
    <x v="413"/>
    <n v="59"/>
    <x v="1"/>
    <s v="Andrewsfurt"/>
    <s v="Idaho"/>
    <s v="USA"/>
    <s v="Bronze"/>
    <s v="Bronze"/>
    <s v="Megan Ryan"/>
    <x v="413"/>
  </r>
  <r>
    <x v="414"/>
    <x v="414"/>
    <n v="35"/>
    <x v="1"/>
    <s v="East Patriciafort"/>
    <s v="Missouri"/>
    <s v="USA"/>
    <s v="Gold"/>
    <s v="Gold"/>
    <s v="Melissa Valentine"/>
    <x v="414"/>
  </r>
  <r>
    <x v="415"/>
    <x v="415"/>
    <n v="26"/>
    <x v="1"/>
    <s v="Kramerview"/>
    <s v="Alaska"/>
    <s v="USA"/>
    <s v="Silver"/>
    <s v="Silver"/>
    <s v="Tyler Cook"/>
    <x v="415"/>
  </r>
  <r>
    <x v="416"/>
    <x v="416"/>
    <n v="46"/>
    <x v="0"/>
    <s v="Marthaborough"/>
    <s v="Wisconsin"/>
    <s v="USA"/>
    <s v="Platinum"/>
    <s v="Platinum"/>
    <s v="Jennifer Myers"/>
    <x v="416"/>
  </r>
  <r>
    <x v="417"/>
    <x v="417"/>
    <n v="64"/>
    <x v="1"/>
    <s v="Kimburgh"/>
    <s v="North Carolina"/>
    <s v="USA"/>
    <s v="Bronze"/>
    <s v="Bronze"/>
    <s v="Karen King"/>
    <x v="417"/>
  </r>
  <r>
    <x v="418"/>
    <x v="418"/>
    <n v="60"/>
    <x v="1"/>
    <s v="West Mario"/>
    <s v="New Hampshire"/>
    <s v="USA"/>
    <s v="Silver"/>
    <s v="Silver"/>
    <s v="Luke Parks"/>
    <x v="418"/>
  </r>
  <r>
    <x v="419"/>
    <x v="419"/>
    <n v="33"/>
    <x v="0"/>
    <s v="Lake David"/>
    <s v="Mississippi"/>
    <s v="USA"/>
    <s v="Gold"/>
    <s v="Gold"/>
    <s v="Monica Miller"/>
    <x v="419"/>
  </r>
  <r>
    <x v="420"/>
    <x v="420"/>
    <n v="60"/>
    <x v="0"/>
    <s v="New Benjamin"/>
    <s v="North Carolina"/>
    <s v="USA"/>
    <s v="Bronze"/>
    <s v="Bronze"/>
    <s v="Dr. Tamara White Md"/>
    <x v="420"/>
  </r>
  <r>
    <x v="421"/>
    <x v="421"/>
    <n v="45"/>
    <x v="1"/>
    <s v="East Amy"/>
    <s v="Washington"/>
    <s v="USA"/>
    <s v="Platinum"/>
    <s v="Platinum"/>
    <s v="Holly Robinson"/>
    <x v="421"/>
  </r>
  <r>
    <x v="422"/>
    <x v="422"/>
    <n v="42"/>
    <x v="1"/>
    <s v="Aliciahaven"/>
    <s v="Kansas"/>
    <s v="USA"/>
    <s v="Platinum"/>
    <s v="Platinum"/>
    <s v="Brittany Edwards Dds"/>
    <x v="422"/>
  </r>
  <r>
    <x v="423"/>
    <x v="423"/>
    <n v="35"/>
    <x v="0"/>
    <s v="New Katherine"/>
    <s v="Kansas"/>
    <s v="USA"/>
    <s v="Silver"/>
    <s v="Silver"/>
    <s v="Rebecca Baker"/>
    <x v="423"/>
  </r>
  <r>
    <x v="424"/>
    <x v="424"/>
    <n v="53"/>
    <x v="0"/>
    <s v="Lake Alexandra"/>
    <s v="North Carolina"/>
    <s v="USA"/>
    <s v="Bronze"/>
    <s v="Bronze"/>
    <s v="Edwin Barnes"/>
    <x v="424"/>
  </r>
  <r>
    <x v="425"/>
    <x v="425"/>
    <n v="40"/>
    <x v="0"/>
    <s v="Lake Monique"/>
    <s v="Utah"/>
    <s v="USA"/>
    <s v="Bronze"/>
    <s v="Bronze"/>
    <s v="Bryce Hawkins"/>
    <x v="425"/>
  </r>
  <r>
    <x v="426"/>
    <x v="426"/>
    <n v="28"/>
    <x v="0"/>
    <s v="Aguilarland"/>
    <s v="North Carolina"/>
    <s v="USA"/>
    <s v="Platinum"/>
    <s v="Platinum"/>
    <s v="Jeanette Nichols"/>
    <x v="426"/>
  </r>
  <r>
    <x v="427"/>
    <x v="427"/>
    <n v="18"/>
    <x v="1"/>
    <s v="South Robert"/>
    <s v="Maine"/>
    <s v="USA"/>
    <s v="Gold"/>
    <s v="Gold"/>
    <s v="Jose Stewart"/>
    <x v="427"/>
  </r>
  <r>
    <x v="428"/>
    <x v="428"/>
    <n v="27"/>
    <x v="1"/>
    <s v="Hartmouth"/>
    <s v="Louisiana"/>
    <s v="USA"/>
    <s v="Bronze"/>
    <s v="Bronze"/>
    <s v="Samuel Mullins"/>
    <x v="428"/>
  </r>
  <r>
    <x v="429"/>
    <x v="429"/>
    <n v="43"/>
    <x v="0"/>
    <s v="Davidchester"/>
    <s v="Idaho"/>
    <s v="USA"/>
    <s v="Platinum"/>
    <s v="Platinum"/>
    <s v="Sean Vang"/>
    <x v="429"/>
  </r>
  <r>
    <x v="430"/>
    <x v="430"/>
    <n v="36"/>
    <x v="1"/>
    <s v="Josephchester"/>
    <s v="New Jersey"/>
    <s v="USA"/>
    <s v="Gold"/>
    <s v="Gold"/>
    <s v="Kimberly Roberts"/>
    <x v="430"/>
  </r>
  <r>
    <x v="431"/>
    <x v="431"/>
    <n v="27"/>
    <x v="0"/>
    <s v="South Andrewport"/>
    <s v="California"/>
    <s v="USA"/>
    <s v="Platinum"/>
    <s v="Platinum"/>
    <s v="John Smith"/>
    <x v="431"/>
  </r>
  <r>
    <x v="432"/>
    <x v="432"/>
    <n v="37"/>
    <x v="0"/>
    <s v="Phyllisport"/>
    <s v="New Jersey"/>
    <s v="USA"/>
    <s v="Bronze"/>
    <s v="Bronze"/>
    <s v="Summer Weiss"/>
    <x v="432"/>
  </r>
  <r>
    <x v="433"/>
    <x v="433"/>
    <n v="51"/>
    <x v="1"/>
    <s v="Williamsberg"/>
    <s v="New York"/>
    <s v="USA"/>
    <s v="Silver"/>
    <s v="Silver"/>
    <s v="Thomas Moore"/>
    <x v="433"/>
  </r>
  <r>
    <x v="434"/>
    <x v="434"/>
    <n v="48"/>
    <x v="1"/>
    <s v="New Sarah"/>
    <s v="Indiana"/>
    <s v="USA"/>
    <s v="Gold"/>
    <s v="Gold"/>
    <s v="Monique Castro"/>
    <x v="434"/>
  </r>
  <r>
    <x v="435"/>
    <x v="435"/>
    <n v="37"/>
    <x v="1"/>
    <s v="Wesleyhaven"/>
    <s v="Idaho"/>
    <s v="USA"/>
    <s v="Silver"/>
    <s v="Silver"/>
    <s v="Lindsay Beasley"/>
    <x v="435"/>
  </r>
  <r>
    <x v="436"/>
    <x v="436"/>
    <n v="61"/>
    <x v="0"/>
    <s v="South Michellebury"/>
    <s v="South Dakota"/>
    <s v="USA"/>
    <s v="Gold"/>
    <s v="Gold"/>
    <s v="Sharon Simpson"/>
    <x v="436"/>
  </r>
  <r>
    <x v="437"/>
    <x v="437"/>
    <n v="47"/>
    <x v="1"/>
    <s v="East Davidmouth"/>
    <s v="New Hampshire"/>
    <s v="USA"/>
    <s v="Platinum"/>
    <s v="Platinum"/>
    <s v="Melinda Rivera"/>
    <x v="437"/>
  </r>
  <r>
    <x v="438"/>
    <x v="438"/>
    <n v="59"/>
    <x v="1"/>
    <s v="Amberburgh"/>
    <s v="Tennessee"/>
    <s v="USA"/>
    <s v="Platinum"/>
    <s v="Platinum"/>
    <s v="Monica Flynn"/>
    <x v="438"/>
  </r>
  <r>
    <x v="439"/>
    <x v="439"/>
    <n v="53"/>
    <x v="0"/>
    <s v="North Daniel"/>
    <s v="Michigan"/>
    <s v="USA"/>
    <s v="Silver"/>
    <s v="Silver"/>
    <s v="John Compton"/>
    <x v="439"/>
  </r>
  <r>
    <x v="440"/>
    <x v="440"/>
    <n v="60"/>
    <x v="0"/>
    <s v="Justinberg"/>
    <s v="North Dakota"/>
    <s v="USA"/>
    <s v="Silver"/>
    <s v="Silver"/>
    <s v="Tammy Trevino"/>
    <x v="440"/>
  </r>
  <r>
    <x v="441"/>
    <x v="441"/>
    <n v="31"/>
    <x v="0"/>
    <s v="Jonesstad"/>
    <s v="Wisconsin"/>
    <s v="USA"/>
    <s v="Silver"/>
    <s v="Silver"/>
    <s v="Dalton Walters"/>
    <x v="441"/>
  </r>
  <r>
    <x v="442"/>
    <x v="442"/>
    <n v="42"/>
    <x v="1"/>
    <s v="North Maryfort"/>
    <s v="Oregon"/>
    <s v="USA"/>
    <s v="Bronze"/>
    <s v="Bronze"/>
    <s v="Kelli Smith"/>
    <x v="442"/>
  </r>
  <r>
    <x v="443"/>
    <x v="443"/>
    <n v="51"/>
    <x v="0"/>
    <s v="New Donnabury"/>
    <s v="Texas"/>
    <s v="USA"/>
    <s v="Silver"/>
    <s v="Silver"/>
    <s v="Adam Castro"/>
    <x v="443"/>
  </r>
  <r>
    <x v="444"/>
    <x v="444"/>
    <n v="19"/>
    <x v="0"/>
    <s v="Jessicaland"/>
    <s v="Wyoming"/>
    <s v="USA"/>
    <s v="Gold"/>
    <s v="Gold"/>
    <s v="Cheryl Carr"/>
    <x v="444"/>
  </r>
  <r>
    <x v="445"/>
    <x v="445"/>
    <n v="41"/>
    <x v="1"/>
    <s v="Mcfarlandmouth"/>
    <s v="Virginia"/>
    <s v="USA"/>
    <s v="Platinum"/>
    <s v="Platinum"/>
    <s v="Gene Lee"/>
    <x v="445"/>
  </r>
  <r>
    <x v="446"/>
    <x v="446"/>
    <n v="35"/>
    <x v="0"/>
    <s v="West Jorge"/>
    <s v="Oklahoma"/>
    <s v="USA"/>
    <s v="Silver"/>
    <s v="Silver"/>
    <s v="Shannon Turner"/>
    <x v="446"/>
  </r>
  <r>
    <x v="447"/>
    <x v="447"/>
    <n v="45"/>
    <x v="0"/>
    <s v="Paulside"/>
    <s v="North Carolina"/>
    <s v="USA"/>
    <s v="Gold"/>
    <s v="Gold"/>
    <s v="Monica Wright"/>
    <x v="447"/>
  </r>
  <r>
    <x v="448"/>
    <x v="448"/>
    <n v="64"/>
    <x v="1"/>
    <s v="Smithville"/>
    <s v="Wyoming"/>
    <s v="USA"/>
    <s v="Bronze"/>
    <s v="Bronze"/>
    <s v="Eric Holmes"/>
    <x v="448"/>
  </r>
  <r>
    <x v="449"/>
    <x v="449"/>
    <n v="29"/>
    <x v="0"/>
    <s v="Port Hannahport"/>
    <s v="Ohio"/>
    <s v="USA"/>
    <s v="Bronze"/>
    <s v="Bronze"/>
    <s v="William Cortez"/>
    <x v="449"/>
  </r>
  <r>
    <x v="450"/>
    <x v="450"/>
    <n v="59"/>
    <x v="0"/>
    <s v="Lake Meganstad"/>
    <s v="Nebraska"/>
    <s v="USA"/>
    <s v="Bronze"/>
    <s v="Bronze"/>
    <s v="Shane Mills"/>
    <x v="450"/>
  </r>
  <r>
    <x v="451"/>
    <x v="451"/>
    <n v="46"/>
    <x v="0"/>
    <s v="Josephmouth"/>
    <s v="New Mexico"/>
    <s v="USA"/>
    <s v="Gold"/>
    <s v="Gold"/>
    <s v="Ashley Roberts"/>
    <x v="451"/>
  </r>
  <r>
    <x v="452"/>
    <x v="452"/>
    <n v="60"/>
    <x v="1"/>
    <s v="New Laura"/>
    <s v="Mississippi"/>
    <s v="USA"/>
    <s v="Bronze"/>
    <s v="Bronze"/>
    <s v="Jeffery Wolf"/>
    <x v="452"/>
  </r>
  <r>
    <x v="453"/>
    <x v="453"/>
    <n v="62"/>
    <x v="1"/>
    <s v="Lake Carolyn"/>
    <s v="Hawaii"/>
    <s v="USA"/>
    <s v="Platinum"/>
    <s v="Platinum"/>
    <s v="April Phillips"/>
    <x v="453"/>
  </r>
  <r>
    <x v="454"/>
    <x v="454"/>
    <n v="60"/>
    <x v="0"/>
    <s v="Johnsonville"/>
    <s v="Oklahoma"/>
    <s v="USA"/>
    <s v="Gold"/>
    <s v="Gold"/>
    <s v="John Berg"/>
    <x v="454"/>
  </r>
  <r>
    <x v="455"/>
    <x v="455"/>
    <n v="54"/>
    <x v="0"/>
    <s v="East Yvette"/>
    <s v="Illinois"/>
    <s v="USA"/>
    <s v="Gold"/>
    <s v="Gold"/>
    <s v="Tyler Weber"/>
    <x v="455"/>
  </r>
  <r>
    <x v="456"/>
    <x v="456"/>
    <n v="59"/>
    <x v="1"/>
    <s v="South Barbara"/>
    <s v="Arkansas"/>
    <s v="USA"/>
    <s v="Gold"/>
    <s v="Gold"/>
    <s v="Julie Powell"/>
    <x v="456"/>
  </r>
  <r>
    <x v="457"/>
    <x v="457"/>
    <n v="59"/>
    <x v="0"/>
    <s v="Hubbardborough"/>
    <s v="Kentucky"/>
    <s v="USA"/>
    <s v="Platinum"/>
    <s v="Platinum"/>
    <s v="Christina Robertson"/>
    <x v="457"/>
  </r>
  <r>
    <x v="458"/>
    <x v="458"/>
    <n v="62"/>
    <x v="1"/>
    <s v="Port Taylorberg"/>
    <s v="Pennsylvania"/>
    <s v="USA"/>
    <s v="Silver"/>
    <s v="Silver"/>
    <s v="Kelly Garrett"/>
    <x v="458"/>
  </r>
  <r>
    <x v="459"/>
    <x v="208"/>
    <n v="29"/>
    <x v="1"/>
    <s v="Brandontown"/>
    <s v="South Carolina"/>
    <s v="USA"/>
    <s v="Gold"/>
    <s v="Gold"/>
    <s v="John Perez"/>
    <x v="208"/>
  </r>
  <r>
    <x v="460"/>
    <x v="459"/>
    <n v="35"/>
    <x v="0"/>
    <s v="Hughesview"/>
    <s v="Iowa"/>
    <s v="USA"/>
    <s v="Gold"/>
    <s v="Gold"/>
    <s v="Justin Johnson"/>
    <x v="459"/>
  </r>
  <r>
    <x v="461"/>
    <x v="460"/>
    <n v="60"/>
    <x v="1"/>
    <s v="East Julie"/>
    <s v="Kansas"/>
    <s v="USA"/>
    <s v="Silver"/>
    <s v="Silver"/>
    <s v="Paul Cox"/>
    <x v="460"/>
  </r>
  <r>
    <x v="462"/>
    <x v="461"/>
    <n v="34"/>
    <x v="1"/>
    <s v="Burkefurt"/>
    <s v="West Virginia"/>
    <s v="USA"/>
    <s v="Silver"/>
    <s v="Silver"/>
    <s v="Beth Martin"/>
    <x v="461"/>
  </r>
  <r>
    <x v="463"/>
    <x v="462"/>
    <n v="36"/>
    <x v="1"/>
    <s v="Port Anthony"/>
    <s v="Connecticut"/>
    <s v="USA"/>
    <s v="Bronze"/>
    <s v="Bronze"/>
    <s v="Samantha Lee"/>
    <x v="462"/>
  </r>
  <r>
    <x v="464"/>
    <x v="463"/>
    <n v="45"/>
    <x v="1"/>
    <s v="Grayland"/>
    <s v="Washington"/>
    <s v="USA"/>
    <s v="Platinum"/>
    <s v="Platinum"/>
    <s v="David Pierce"/>
    <x v="463"/>
  </r>
  <r>
    <x v="465"/>
    <x v="464"/>
    <n v="28"/>
    <x v="1"/>
    <s v="Hartmanside"/>
    <s v="North Carolina"/>
    <s v="USA"/>
    <s v="Silver"/>
    <s v="Silver"/>
    <s v="Ronald Ross"/>
    <x v="464"/>
  </r>
  <r>
    <x v="466"/>
    <x v="465"/>
    <n v="18"/>
    <x v="0"/>
    <s v="Espinozaberg"/>
    <s v="Minnesota"/>
    <s v="USA"/>
    <s v="Silver"/>
    <s v="Silver"/>
    <s v="Cynthia Parrish"/>
    <x v="465"/>
  </r>
  <r>
    <x v="467"/>
    <x v="466"/>
    <n v="63"/>
    <x v="1"/>
    <s v="Oneillfurt"/>
    <s v="Vermont"/>
    <s v="USA"/>
    <s v="Gold"/>
    <s v="Gold"/>
    <s v="Michael Foley"/>
    <x v="466"/>
  </r>
  <r>
    <x v="468"/>
    <x v="467"/>
    <n v="45"/>
    <x v="0"/>
    <s v="Bergermouth"/>
    <s v="Vermont"/>
    <s v="USA"/>
    <s v="Bronze"/>
    <s v="Bronze"/>
    <s v="Gregory Curtis"/>
    <x v="467"/>
  </r>
  <r>
    <x v="469"/>
    <x v="468"/>
    <n v="19"/>
    <x v="0"/>
    <s v="East Audrey"/>
    <s v="Utah"/>
    <s v="USA"/>
    <s v="Gold"/>
    <s v="Gold"/>
    <s v="James Foster"/>
    <x v="468"/>
  </r>
  <r>
    <x v="470"/>
    <x v="469"/>
    <n v="21"/>
    <x v="1"/>
    <s v="Kanebury"/>
    <s v="New Hampshire"/>
    <s v="USA"/>
    <s v="Gold"/>
    <s v="Gold"/>
    <s v="Manuel Fisher"/>
    <x v="469"/>
  </r>
  <r>
    <x v="471"/>
    <x v="470"/>
    <n v="42"/>
    <x v="0"/>
    <s v="Mcdanielfurt"/>
    <s v="Montana"/>
    <s v="USA"/>
    <s v="Platinum"/>
    <s v="Platinum"/>
    <s v="Debra Mccullough"/>
    <x v="470"/>
  </r>
  <r>
    <x v="472"/>
    <x v="471"/>
    <n v="42"/>
    <x v="0"/>
    <s v="Tylermouth"/>
    <s v="Massachusetts"/>
    <s v="USA"/>
    <s v="Silver"/>
    <s v="Silver"/>
    <s v="Philip Mendoza"/>
    <x v="471"/>
  </r>
  <r>
    <x v="473"/>
    <x v="472"/>
    <n v="53"/>
    <x v="0"/>
    <s v="Chambersfurt"/>
    <s v="Wisconsin"/>
    <s v="USA"/>
    <s v="Bronze"/>
    <s v="Bronze"/>
    <s v="Laura Mathews"/>
    <x v="472"/>
  </r>
  <r>
    <x v="474"/>
    <x v="473"/>
    <n v="32"/>
    <x v="1"/>
    <s v="East Christopherhaven"/>
    <s v="South Dakota"/>
    <s v="USA"/>
    <s v="Platinum"/>
    <s v="Platinum"/>
    <s v="Joshua Howard"/>
    <x v="473"/>
  </r>
  <r>
    <x v="475"/>
    <x v="474"/>
    <n v="18"/>
    <x v="1"/>
    <s v="Lake Michael"/>
    <s v="Vermont"/>
    <s v="USA"/>
    <s v="Platinum"/>
    <s v="Platinum"/>
    <s v="Barbara Berry"/>
    <x v="474"/>
  </r>
  <r>
    <x v="476"/>
    <x v="475"/>
    <n v="33"/>
    <x v="1"/>
    <s v="Anthonymouth"/>
    <s v="Oklahoma"/>
    <s v="USA"/>
    <s v="Gold"/>
    <s v="Gold"/>
    <s v="Elizabeth Foster"/>
    <x v="475"/>
  </r>
  <r>
    <x v="477"/>
    <x v="476"/>
    <n v="41"/>
    <x v="1"/>
    <s v="West Kelseyberg"/>
    <s v="Kansas"/>
    <s v="USA"/>
    <s v="Platinum"/>
    <s v="Platinum"/>
    <s v="Andrea Harris"/>
    <x v="476"/>
  </r>
  <r>
    <x v="478"/>
    <x v="477"/>
    <n v="59"/>
    <x v="0"/>
    <s v="West Sarah"/>
    <s v="South Dakota"/>
    <s v="USA"/>
    <s v="Gold"/>
    <s v="Gold"/>
    <s v="Earl Smith Dds"/>
    <x v="477"/>
  </r>
  <r>
    <x v="479"/>
    <x v="478"/>
    <n v="40"/>
    <x v="0"/>
    <s v="New Jamesview"/>
    <s v="West Virginia"/>
    <s v="USA"/>
    <s v="Bronze"/>
    <s v="Bronze"/>
    <s v="Dylan Gutierrez"/>
    <x v="478"/>
  </r>
  <r>
    <x v="480"/>
    <x v="479"/>
    <n v="33"/>
    <x v="0"/>
    <s v="Robinchester"/>
    <s v="Florida"/>
    <s v="USA"/>
    <s v="Bronze"/>
    <s v="Bronze"/>
    <s v="Jordan Medina"/>
    <x v="479"/>
  </r>
  <r>
    <x v="481"/>
    <x v="480"/>
    <n v="21"/>
    <x v="0"/>
    <s v="Kelseybury"/>
    <s v="Georgia"/>
    <s v="USA"/>
    <s v="Gold"/>
    <s v="Gold"/>
    <s v="Bryan Tran"/>
    <x v="480"/>
  </r>
  <r>
    <x v="482"/>
    <x v="481"/>
    <n v="26"/>
    <x v="0"/>
    <s v="West Tylerfort"/>
    <s v="Kentucky"/>
    <s v="USA"/>
    <s v="Platinum"/>
    <s v="Platinum"/>
    <s v="Sheri Joyce"/>
    <x v="481"/>
  </r>
  <r>
    <x v="483"/>
    <x v="409"/>
    <n v="48"/>
    <x v="0"/>
    <s v="East Rodney"/>
    <s v="Nevada"/>
    <s v="USA"/>
    <s v="Gold"/>
    <s v="Gold"/>
    <s v="Sarah Smith"/>
    <x v="409"/>
  </r>
  <r>
    <x v="484"/>
    <x v="482"/>
    <n v="32"/>
    <x v="0"/>
    <s v="West Markton"/>
    <s v="Massachusetts"/>
    <s v="USA"/>
    <s v="Bronze"/>
    <s v="Bronze"/>
    <s v="Jessica Castro"/>
    <x v="482"/>
  </r>
  <r>
    <x v="485"/>
    <x v="483"/>
    <n v="46"/>
    <x v="1"/>
    <s v="East Dillonview"/>
    <s v="Virginia"/>
    <s v="USA"/>
    <s v="Bronze"/>
    <s v="Bronze"/>
    <s v="Sara Ingram"/>
    <x v="483"/>
  </r>
  <r>
    <x v="486"/>
    <x v="484"/>
    <n v="22"/>
    <x v="1"/>
    <s v="Lake April"/>
    <s v="Vermont"/>
    <s v="USA"/>
    <s v="Bronze"/>
    <s v="Bronze"/>
    <s v="Eric Lee"/>
    <x v="484"/>
  </r>
  <r>
    <x v="487"/>
    <x v="485"/>
    <n v="36"/>
    <x v="1"/>
    <s v="East Patriciastad"/>
    <s v="Utah"/>
    <s v="USA"/>
    <s v="Platinum"/>
    <s v="Platinum"/>
    <s v="Amanda Medina"/>
    <x v="485"/>
  </r>
  <r>
    <x v="488"/>
    <x v="486"/>
    <n v="23"/>
    <x v="1"/>
    <s v="South Davidport"/>
    <s v="California"/>
    <s v="USA"/>
    <s v="Platinum"/>
    <s v="Platinum"/>
    <s v="Zachary Andrade"/>
    <x v="486"/>
  </r>
  <r>
    <x v="489"/>
    <x v="487"/>
    <n v="42"/>
    <x v="1"/>
    <s v="Lake Elizabethside"/>
    <s v="Indiana"/>
    <s v="USA"/>
    <s v="Silver"/>
    <s v="Silver"/>
    <s v="Melinda Thomas"/>
    <x v="487"/>
  </r>
  <r>
    <x v="490"/>
    <x v="488"/>
    <n v="23"/>
    <x v="0"/>
    <s v="North Nataliemouth"/>
    <s v="Maryland"/>
    <s v="USA"/>
    <s v="Platinum"/>
    <s v="Platinum"/>
    <s v="Scott Harris"/>
    <x v="488"/>
  </r>
  <r>
    <x v="491"/>
    <x v="489"/>
    <n v="52"/>
    <x v="1"/>
    <s v="Kellyberg"/>
    <s v="South Dakota"/>
    <s v="USA"/>
    <s v="Gold"/>
    <s v="Gold"/>
    <s v="Kaitlin Brown"/>
    <x v="489"/>
  </r>
  <r>
    <x v="492"/>
    <x v="490"/>
    <n v="59"/>
    <x v="1"/>
    <s v="Port Carol"/>
    <s v="Florida"/>
    <s v="USA"/>
    <s v="Platinum"/>
    <s v="Platinum"/>
    <s v="Darrell Miller"/>
    <x v="490"/>
  </r>
  <r>
    <x v="493"/>
    <x v="491"/>
    <n v="28"/>
    <x v="0"/>
    <s v="South William"/>
    <s v="Alabama"/>
    <s v="USA"/>
    <s v="Silver"/>
    <s v="Silver"/>
    <s v="Amanda Powell"/>
    <x v="491"/>
  </r>
  <r>
    <x v="494"/>
    <x v="492"/>
    <n v="21"/>
    <x v="0"/>
    <s v="Port Cheryl"/>
    <s v="Texas"/>
    <s v="USA"/>
    <s v="Gold"/>
    <s v="Gold"/>
    <s v="Justin Lopez"/>
    <x v="492"/>
  </r>
  <r>
    <x v="495"/>
    <x v="493"/>
    <n v="23"/>
    <x v="1"/>
    <s v="Bryanmouth"/>
    <s v="Delaware"/>
    <s v="USA"/>
    <s v="Bronze"/>
    <s v="Bronze"/>
    <s v="James Berger"/>
    <x v="493"/>
  </r>
  <r>
    <x v="496"/>
    <x v="494"/>
    <n v="56"/>
    <x v="0"/>
    <s v="North Seanfurt"/>
    <s v="Ohio"/>
    <s v="USA"/>
    <s v="Bronze"/>
    <s v="Bronze"/>
    <s v="Christopher Ford"/>
    <x v="494"/>
  </r>
  <r>
    <x v="497"/>
    <x v="495"/>
    <n v="47"/>
    <x v="1"/>
    <s v="Port William"/>
    <s v="New York"/>
    <s v="USA"/>
    <s v="Gold"/>
    <s v="Gold"/>
    <s v="Sarah Marsh"/>
    <x v="495"/>
  </r>
  <r>
    <x v="498"/>
    <x v="496"/>
    <n v="35"/>
    <x v="0"/>
    <s v="Snyderfurt"/>
    <s v="New Mexico"/>
    <s v="USA"/>
    <s v="Silver"/>
    <s v="Silver"/>
    <s v="Traci Gonzalez"/>
    <x v="496"/>
  </r>
  <r>
    <x v="499"/>
    <x v="497"/>
    <n v="27"/>
    <x v="1"/>
    <s v="East Valerieview"/>
    <s v="Oregon"/>
    <s v="USA"/>
    <s v="Platinum"/>
    <s v="Platinum"/>
    <s v="Philip Pennington"/>
    <x v="4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23BB6-6CA2-4172-A599-B40C91BE069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1499" firstHeaderRow="1" firstDataRow="1" firstDataCol="1"/>
  <pivotFields count="11">
    <pivotField axis="axisRow" showAll="0">
      <items count="501">
        <item n="CUST1464" x="464"/>
        <item n="CUST1486" x="486"/>
        <item n="CUST1491" x="491"/>
        <item n="CUST1499" x="4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499">
        <item x="353"/>
        <item x="22"/>
        <item x="0"/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157"/>
        <item x="471"/>
        <item x="497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  <item t="default"/>
      </items>
    </pivotField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99"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353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22"/>
        <item x="157"/>
        <item x="471"/>
        <item x="497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0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  <item t="default"/>
      </items>
    </pivotField>
  </pivotFields>
  <rowFields count="3">
    <field x="10"/>
    <field x="3"/>
    <field x="0"/>
  </rowFields>
  <rowItems count="1498">
    <i>
      <x/>
    </i>
    <i r="1">
      <x/>
    </i>
    <i r="2">
      <x v="283"/>
    </i>
    <i>
      <x v="1"/>
    </i>
    <i r="1">
      <x v="1"/>
    </i>
    <i r="2">
      <x v="447"/>
    </i>
    <i>
      <x v="2"/>
    </i>
    <i r="1">
      <x/>
    </i>
    <i r="2">
      <x v="21"/>
    </i>
    <i>
      <x v="3"/>
    </i>
    <i r="1">
      <x/>
    </i>
    <i r="2">
      <x v="276"/>
    </i>
    <i>
      <x v="4"/>
    </i>
    <i r="1">
      <x v="1"/>
    </i>
    <i r="2">
      <x v="226"/>
    </i>
    <i>
      <x v="5"/>
    </i>
    <i r="1">
      <x/>
    </i>
    <i r="2">
      <x v="398"/>
    </i>
    <i>
      <x v="6"/>
    </i>
    <i r="1">
      <x v="1"/>
    </i>
    <i r="2">
      <x v="328"/>
    </i>
    <i>
      <x v="7"/>
    </i>
    <i r="1">
      <x/>
    </i>
    <i r="2">
      <x v="400"/>
    </i>
    <i>
      <x v="8"/>
    </i>
    <i r="1">
      <x v="1"/>
    </i>
    <i r="2">
      <x v="230"/>
    </i>
    <i>
      <x v="9"/>
    </i>
    <i r="1">
      <x v="1"/>
    </i>
    <i r="2">
      <x v="63"/>
    </i>
    <i>
      <x v="10"/>
    </i>
    <i r="1">
      <x/>
    </i>
    <i r="2">
      <x v="489"/>
    </i>
    <i>
      <x v="11"/>
    </i>
    <i r="1">
      <x v="1"/>
    </i>
    <i r="2">
      <x v="494"/>
    </i>
    <i>
      <x v="12"/>
    </i>
    <i r="1">
      <x/>
    </i>
    <i r="2">
      <x v="30"/>
    </i>
    <i>
      <x v="13"/>
    </i>
    <i r="1">
      <x/>
    </i>
    <i r="2">
      <x v="10"/>
    </i>
    <i>
      <x v="14"/>
    </i>
    <i r="1">
      <x v="1"/>
    </i>
    <i r="2">
      <x v="71"/>
    </i>
    <i>
      <x v="15"/>
    </i>
    <i r="1">
      <x/>
    </i>
    <i r="2">
      <x v="99"/>
    </i>
    <i>
      <x v="16"/>
    </i>
    <i r="1">
      <x v="1"/>
    </i>
    <i r="2">
      <x v="113"/>
    </i>
    <i>
      <x v="17"/>
    </i>
    <i r="1">
      <x/>
    </i>
    <i r="2">
      <x v="175"/>
    </i>
    <i>
      <x v="18"/>
    </i>
    <i r="1">
      <x/>
    </i>
    <i r="2">
      <x v="480"/>
    </i>
    <i>
      <x v="19"/>
    </i>
    <i r="1">
      <x/>
    </i>
    <i r="2">
      <x v="201"/>
    </i>
    <i>
      <x v="20"/>
    </i>
    <i r="1">
      <x/>
    </i>
    <i r="2">
      <x v="75"/>
    </i>
    <i>
      <x v="21"/>
    </i>
    <i r="1">
      <x/>
    </i>
    <i r="2">
      <x v="388"/>
    </i>
    <i>
      <x v="22"/>
    </i>
    <i r="1">
      <x v="1"/>
    </i>
    <i r="2">
      <x v="329"/>
    </i>
    <i>
      <x v="23"/>
    </i>
    <i r="1">
      <x v="1"/>
    </i>
    <i r="2">
      <x v="310"/>
    </i>
    <i>
      <x v="24"/>
    </i>
    <i r="1">
      <x/>
    </i>
    <i r="2">
      <x v="345"/>
    </i>
    <i>
      <x v="25"/>
    </i>
    <i r="1">
      <x v="1"/>
    </i>
    <i r="2">
      <x v="204"/>
    </i>
    <i>
      <x v="26"/>
    </i>
    <i r="1">
      <x v="1"/>
    </i>
    <i r="2">
      <x v="199"/>
    </i>
    <i>
      <x v="27"/>
    </i>
    <i r="1">
      <x v="1"/>
    </i>
    <i r="2">
      <x v="228"/>
    </i>
    <i>
      <x v="28"/>
    </i>
    <i r="1">
      <x/>
    </i>
    <i r="2">
      <x v="120"/>
    </i>
    <i>
      <x v="29"/>
    </i>
    <i r="1">
      <x v="1"/>
    </i>
    <i r="2">
      <x v="214"/>
    </i>
    <i>
      <x v="30"/>
    </i>
    <i r="1">
      <x v="1"/>
    </i>
    <i r="2">
      <x v="284"/>
    </i>
    <i>
      <x v="31"/>
    </i>
    <i r="1">
      <x/>
    </i>
    <i r="2">
      <x v="171"/>
    </i>
    <i>
      <x v="32"/>
    </i>
    <i r="1">
      <x v="1"/>
    </i>
    <i r="2">
      <x v="52"/>
    </i>
    <i>
      <x v="33"/>
    </i>
    <i r="1">
      <x/>
    </i>
    <i r="2">
      <x v="457"/>
    </i>
    <i>
      <x v="34"/>
    </i>
    <i r="1">
      <x v="1"/>
    </i>
    <i r="2">
      <x v="280"/>
    </i>
    <i>
      <x v="35"/>
    </i>
    <i r="1">
      <x/>
    </i>
    <i r="2">
      <x v="362"/>
    </i>
    <i>
      <x v="36"/>
    </i>
    <i r="1">
      <x/>
    </i>
    <i r="2">
      <x v="18"/>
    </i>
    <i>
      <x v="37"/>
    </i>
    <i r="1">
      <x v="1"/>
    </i>
    <i r="2">
      <x v="198"/>
    </i>
    <i>
      <x v="38"/>
    </i>
    <i r="1">
      <x/>
    </i>
    <i r="2">
      <x v="114"/>
    </i>
    <i>
      <x v="39"/>
    </i>
    <i r="1">
      <x v="1"/>
    </i>
    <i r="2">
      <x v="455"/>
    </i>
    <i>
      <x v="40"/>
    </i>
    <i r="1">
      <x/>
    </i>
    <i r="2">
      <x v="478"/>
    </i>
    <i>
      <x v="41"/>
    </i>
    <i r="1">
      <x/>
    </i>
    <i r="2">
      <x v="263"/>
    </i>
    <i>
      <x v="42"/>
    </i>
    <i r="1">
      <x/>
    </i>
    <i r="2">
      <x v="466"/>
    </i>
    <i>
      <x v="43"/>
    </i>
    <i r="1">
      <x/>
    </i>
    <i r="2">
      <x v="216"/>
    </i>
    <i>
      <x v="44"/>
    </i>
    <i r="1">
      <x/>
    </i>
    <i r="2">
      <x v="369"/>
    </i>
    <i>
      <x v="45"/>
    </i>
    <i r="1">
      <x v="1"/>
    </i>
    <i r="2">
      <x v="399"/>
    </i>
    <i>
      <x v="46"/>
    </i>
    <i r="1">
      <x/>
    </i>
    <i r="2">
      <x v="311"/>
    </i>
    <i>
      <x v="47"/>
    </i>
    <i r="1">
      <x/>
    </i>
    <i r="2">
      <x v="189"/>
    </i>
    <i>
      <x v="48"/>
    </i>
    <i r="1">
      <x/>
    </i>
    <i r="2">
      <x v="163"/>
    </i>
    <i>
      <x v="49"/>
    </i>
    <i r="1">
      <x/>
    </i>
    <i r="2">
      <x v="274"/>
    </i>
    <i>
      <x v="50"/>
    </i>
    <i r="1">
      <x/>
    </i>
    <i r="2">
      <x v="247"/>
    </i>
    <i>
      <x v="51"/>
    </i>
    <i r="1">
      <x v="1"/>
    </i>
    <i r="2">
      <x v="143"/>
    </i>
    <i>
      <x v="52"/>
    </i>
    <i r="1">
      <x/>
    </i>
    <i r="2">
      <x v="15"/>
    </i>
    <i>
      <x v="53"/>
    </i>
    <i r="1">
      <x v="1"/>
    </i>
    <i r="2">
      <x v="24"/>
    </i>
    <i>
      <x v="54"/>
    </i>
    <i r="1">
      <x/>
    </i>
    <i r="2">
      <x v="426"/>
    </i>
    <i>
      <x v="55"/>
    </i>
    <i r="1">
      <x v="1"/>
    </i>
    <i r="2">
      <x v="285"/>
    </i>
    <i>
      <x v="56"/>
    </i>
    <i r="1">
      <x v="1"/>
    </i>
    <i r="2">
      <x v="102"/>
    </i>
    <i>
      <x v="57"/>
    </i>
    <i r="1">
      <x/>
    </i>
    <i r="2">
      <x v="287"/>
    </i>
    <i>
      <x v="58"/>
    </i>
    <i r="1">
      <x v="1"/>
    </i>
    <i r="2">
      <x v="484"/>
    </i>
    <i>
      <x v="59"/>
    </i>
    <i r="1">
      <x v="1"/>
    </i>
    <i r="2">
      <x v="429"/>
    </i>
    <i>
      <x v="60"/>
    </i>
    <i r="1">
      <x v="1"/>
    </i>
    <i r="2">
      <x v="149"/>
    </i>
    <i>
      <x v="61"/>
    </i>
    <i r="1">
      <x v="1"/>
    </i>
    <i r="2">
      <x v="359"/>
    </i>
    <i>
      <x v="62"/>
    </i>
    <i r="1">
      <x v="1"/>
    </i>
    <i r="2">
      <x v="147"/>
    </i>
    <i>
      <x v="63"/>
    </i>
    <i r="1">
      <x v="1"/>
    </i>
    <i r="2">
      <x v="203"/>
    </i>
    <i>
      <x v="64"/>
    </i>
    <i r="1">
      <x/>
    </i>
    <i r="2">
      <x v="265"/>
    </i>
    <i>
      <x v="65"/>
    </i>
    <i r="1">
      <x/>
    </i>
    <i r="2">
      <x v="341"/>
    </i>
    <i>
      <x v="66"/>
    </i>
    <i r="1">
      <x/>
    </i>
    <i r="2">
      <x v="8"/>
    </i>
    <i>
      <x v="67"/>
    </i>
    <i r="1">
      <x/>
    </i>
    <i r="2">
      <x v="232"/>
    </i>
    <i>
      <x v="68"/>
    </i>
    <i r="1">
      <x v="1"/>
    </i>
    <i r="2">
      <x v="323"/>
    </i>
    <i>
      <x v="69"/>
    </i>
    <i r="1">
      <x v="1"/>
    </i>
    <i r="2">
      <x v="406"/>
    </i>
    <i>
      <x v="70"/>
    </i>
    <i r="1">
      <x/>
    </i>
    <i r="2">
      <x v="381"/>
    </i>
    <i>
      <x v="71"/>
    </i>
    <i r="1">
      <x v="1"/>
    </i>
    <i r="2">
      <x v="354"/>
    </i>
    <i>
      <x v="72"/>
    </i>
    <i r="1">
      <x/>
    </i>
    <i r="2">
      <x v="401"/>
    </i>
    <i>
      <x v="73"/>
    </i>
    <i r="1">
      <x/>
    </i>
    <i r="2">
      <x v="294"/>
    </i>
    <i>
      <x v="74"/>
    </i>
    <i r="1">
      <x v="1"/>
    </i>
    <i r="2">
      <x v="448"/>
    </i>
    <i>
      <x v="75"/>
    </i>
    <i r="1">
      <x v="1"/>
    </i>
    <i r="2">
      <x v="62"/>
    </i>
    <i>
      <x v="76"/>
    </i>
    <i r="1">
      <x v="1"/>
    </i>
    <i r="2">
      <x v="368"/>
    </i>
    <i>
      <x v="77"/>
    </i>
    <i r="1">
      <x/>
    </i>
    <i r="2">
      <x v="206"/>
    </i>
    <i>
      <x v="78"/>
    </i>
    <i r="1">
      <x v="1"/>
    </i>
    <i r="2">
      <x v="461"/>
    </i>
    <i>
      <x v="79"/>
    </i>
    <i r="1">
      <x v="1"/>
    </i>
    <i r="2">
      <x v="9"/>
    </i>
    <i>
      <x v="80"/>
    </i>
    <i r="1">
      <x/>
    </i>
    <i r="2">
      <x v="77"/>
    </i>
    <i>
      <x v="81"/>
    </i>
    <i r="1">
      <x/>
    </i>
    <i r="2">
      <x v="41"/>
    </i>
    <i>
      <x v="82"/>
    </i>
    <i r="1">
      <x v="1"/>
    </i>
    <i r="2">
      <x v="261"/>
    </i>
    <i>
      <x v="83"/>
    </i>
    <i r="1">
      <x v="1"/>
    </i>
    <i r="2">
      <x v="497"/>
    </i>
    <i>
      <x v="84"/>
    </i>
    <i r="1">
      <x v="1"/>
    </i>
    <i r="2">
      <x v="174"/>
    </i>
    <i>
      <x v="85"/>
    </i>
    <i r="1">
      <x v="1"/>
    </i>
    <i r="2">
      <x v="108"/>
    </i>
    <i>
      <x v="86"/>
    </i>
    <i r="1">
      <x/>
    </i>
    <i r="2">
      <x v="38"/>
    </i>
    <i>
      <x v="87"/>
    </i>
    <i r="1">
      <x v="1"/>
    </i>
    <i r="2">
      <x v="194"/>
    </i>
    <i>
      <x v="88"/>
    </i>
    <i r="1">
      <x/>
    </i>
    <i r="2">
      <x v="60"/>
    </i>
    <i>
      <x v="89"/>
    </i>
    <i r="1">
      <x/>
    </i>
    <i r="2">
      <x v="236"/>
    </i>
    <i>
      <x v="90"/>
    </i>
    <i r="1">
      <x/>
    </i>
    <i r="2">
      <x v="88"/>
    </i>
    <i>
      <x v="91"/>
    </i>
    <i r="1">
      <x/>
    </i>
    <i r="2">
      <x v="97"/>
    </i>
    <i>
      <x v="92"/>
    </i>
    <i r="1">
      <x v="1"/>
    </i>
    <i r="2">
      <x v="82"/>
    </i>
    <i>
      <x v="93"/>
    </i>
    <i r="1">
      <x/>
    </i>
    <i r="2">
      <x v="70"/>
    </i>
    <i>
      <x v="94"/>
    </i>
    <i r="1">
      <x v="1"/>
    </i>
    <i r="2">
      <x v="105"/>
    </i>
    <i>
      <x v="95"/>
    </i>
    <i r="1">
      <x/>
    </i>
    <i r="2">
      <x v="121"/>
    </i>
    <i>
      <x v="96"/>
    </i>
    <i r="1">
      <x v="1"/>
    </i>
    <i r="2">
      <x v="145"/>
    </i>
    <i>
      <x v="97"/>
    </i>
    <i r="1">
      <x v="1"/>
    </i>
    <i r="2">
      <x v="267"/>
    </i>
    <i>
      <x v="98"/>
    </i>
    <i r="1">
      <x/>
    </i>
    <i r="2">
      <x v="299"/>
    </i>
    <i>
      <x v="99"/>
    </i>
    <i r="1">
      <x/>
    </i>
    <i r="2">
      <x v="159"/>
    </i>
    <i>
      <x v="100"/>
    </i>
    <i r="1">
      <x v="1"/>
    </i>
    <i r="2">
      <x v="181"/>
    </i>
    <i>
      <x v="101"/>
    </i>
    <i r="1">
      <x v="1"/>
    </i>
    <i r="2">
      <x v="393"/>
    </i>
    <i>
      <x v="102"/>
    </i>
    <i r="1">
      <x/>
    </i>
    <i r="2">
      <x v="165"/>
    </i>
    <i>
      <x v="103"/>
    </i>
    <i r="1">
      <x v="1"/>
    </i>
    <i r="2">
      <x v="469"/>
    </i>
    <i>
      <x v="104"/>
    </i>
    <i r="1">
      <x/>
    </i>
    <i r="2">
      <x v="270"/>
    </i>
    <i>
      <x v="105"/>
    </i>
    <i r="1">
      <x/>
    </i>
    <i r="2">
      <x v="291"/>
    </i>
    <i>
      <x v="106"/>
    </i>
    <i r="1">
      <x v="1"/>
    </i>
    <i r="2">
      <x v="275"/>
    </i>
    <i>
      <x v="107"/>
    </i>
    <i r="1">
      <x v="1"/>
    </i>
    <i r="2">
      <x v="445"/>
    </i>
    <i>
      <x v="108"/>
    </i>
    <i r="1">
      <x v="1"/>
    </i>
    <i r="2">
      <x v="259"/>
    </i>
    <i>
      <x v="109"/>
    </i>
    <i r="1">
      <x v="1"/>
    </i>
    <i r="2">
      <x v="193"/>
    </i>
    <i>
      <x v="110"/>
    </i>
    <i r="1">
      <x v="1"/>
    </i>
    <i r="2">
      <x v="394"/>
    </i>
    <i>
      <x v="111"/>
    </i>
    <i r="1">
      <x/>
    </i>
    <i r="2">
      <x v="11"/>
    </i>
    <i>
      <x v="112"/>
    </i>
    <i r="1">
      <x/>
    </i>
    <i r="2">
      <x v="172"/>
    </i>
    <i>
      <x v="113"/>
    </i>
    <i r="1">
      <x v="1"/>
    </i>
    <i r="2">
      <x v="349"/>
    </i>
    <i>
      <x v="114"/>
    </i>
    <i r="1">
      <x/>
    </i>
    <i r="2">
      <x v="168"/>
    </i>
    <i>
      <x v="115"/>
    </i>
    <i r="1">
      <x/>
    </i>
    <i r="2">
      <x v="493"/>
    </i>
    <i>
      <x v="116"/>
    </i>
    <i r="1">
      <x/>
    </i>
    <i r="2">
      <x v="325"/>
    </i>
    <i>
      <x v="117"/>
    </i>
    <i r="1">
      <x/>
    </i>
    <i r="2">
      <x v="33"/>
    </i>
    <i>
      <x v="118"/>
    </i>
    <i r="1">
      <x v="1"/>
    </i>
    <i r="2">
      <x v="101"/>
    </i>
    <i>
      <x v="119"/>
    </i>
    <i r="1">
      <x/>
    </i>
    <i r="2">
      <x v="116"/>
    </i>
    <i>
      <x v="120"/>
    </i>
    <i r="1">
      <x/>
    </i>
    <i r="2">
      <x v="410"/>
    </i>
    <i>
      <x v="121"/>
    </i>
    <i r="1">
      <x/>
    </i>
    <i r="2">
      <x v="98"/>
    </i>
    <i>
      <x v="122"/>
    </i>
    <i r="1">
      <x/>
    </i>
    <i r="2">
      <x/>
    </i>
    <i>
      <x v="123"/>
    </i>
    <i r="1">
      <x v="1"/>
    </i>
    <i r="2">
      <x v="197"/>
    </i>
    <i>
      <x v="124"/>
    </i>
    <i r="1">
      <x/>
    </i>
    <i r="2">
      <x v="408"/>
    </i>
    <i>
      <x v="125"/>
    </i>
    <i r="1">
      <x/>
    </i>
    <i r="2">
      <x v="42"/>
    </i>
    <i>
      <x v="126"/>
    </i>
    <i r="1">
      <x v="1"/>
    </i>
    <i r="2">
      <x v="56"/>
    </i>
    <i>
      <x v="127"/>
    </i>
    <i r="1">
      <x v="1"/>
    </i>
    <i r="2">
      <x v="474"/>
    </i>
    <i>
      <x v="128"/>
    </i>
    <i r="1">
      <x v="1"/>
    </i>
    <i r="2">
      <x v="153"/>
    </i>
    <i>
      <x v="129"/>
    </i>
    <i r="1">
      <x v="1"/>
    </i>
    <i r="2">
      <x v="364"/>
    </i>
    <i>
      <x v="130"/>
    </i>
    <i r="1">
      <x v="1"/>
    </i>
    <i r="2">
      <x v="48"/>
    </i>
    <i>
      <x v="131"/>
    </i>
    <i r="1">
      <x/>
    </i>
    <i r="2">
      <x v="29"/>
    </i>
    <i>
      <x v="132"/>
    </i>
    <i r="1">
      <x/>
    </i>
    <i r="2">
      <x v="104"/>
    </i>
    <i>
      <x v="133"/>
    </i>
    <i r="1">
      <x v="1"/>
    </i>
    <i r="2">
      <x v="14"/>
    </i>
    <i>
      <x v="134"/>
    </i>
    <i r="1">
      <x v="1"/>
    </i>
    <i r="2">
      <x v="128"/>
    </i>
    <i>
      <x v="135"/>
    </i>
    <i r="1">
      <x/>
    </i>
    <i r="2">
      <x v="95"/>
    </i>
    <i>
      <x v="136"/>
    </i>
    <i r="1">
      <x/>
    </i>
    <i r="2">
      <x v="289"/>
    </i>
    <i>
      <x v="137"/>
    </i>
    <i r="1">
      <x v="1"/>
    </i>
    <i r="2">
      <x v="251"/>
    </i>
    <i>
      <x v="138"/>
    </i>
    <i r="1">
      <x v="1"/>
    </i>
    <i r="2">
      <x v="257"/>
    </i>
    <i>
      <x v="139"/>
    </i>
    <i r="1">
      <x/>
    </i>
    <i r="2">
      <x v="6"/>
    </i>
    <i>
      <x v="140"/>
    </i>
    <i r="1">
      <x/>
    </i>
    <i r="2">
      <x v="64"/>
    </i>
    <i>
      <x v="141"/>
    </i>
    <i r="1">
      <x/>
    </i>
    <i r="2">
      <x v="336"/>
    </i>
    <i>
      <x v="142"/>
    </i>
    <i r="1">
      <x/>
    </i>
    <i r="2">
      <x v="191"/>
    </i>
    <i>
      <x v="143"/>
    </i>
    <i r="1">
      <x v="1"/>
    </i>
    <i r="2">
      <x v="424"/>
    </i>
    <i>
      <x v="144"/>
    </i>
    <i r="1">
      <x v="1"/>
    </i>
    <i r="2">
      <x v="482"/>
    </i>
    <i>
      <x v="145"/>
    </i>
    <i r="1">
      <x v="1"/>
    </i>
    <i r="2">
      <x v="122"/>
    </i>
    <i>
      <x v="146"/>
    </i>
    <i r="1">
      <x v="1"/>
    </i>
    <i r="2">
      <x v="481"/>
    </i>
    <i>
      <x v="147"/>
    </i>
    <i r="1">
      <x v="1"/>
    </i>
    <i r="2">
      <x v="306"/>
    </i>
    <i>
      <x v="148"/>
    </i>
    <i r="1">
      <x v="1"/>
    </i>
    <i r="2">
      <x v="117"/>
    </i>
    <i>
      <x v="149"/>
    </i>
    <i r="1">
      <x/>
    </i>
    <i r="2">
      <x v="150"/>
    </i>
    <i>
      <x v="150"/>
    </i>
    <i r="1">
      <x v="1"/>
    </i>
    <i r="2">
      <x v="428"/>
    </i>
    <i>
      <x v="151"/>
    </i>
    <i r="1">
      <x/>
    </i>
    <i r="2">
      <x v="479"/>
    </i>
    <i>
      <x v="152"/>
    </i>
    <i r="1">
      <x/>
    </i>
    <i r="2">
      <x v="318"/>
    </i>
    <i>
      <x v="153"/>
    </i>
    <i r="1">
      <x v="1"/>
    </i>
    <i r="2">
      <x v="317"/>
    </i>
    <i>
      <x v="154"/>
    </i>
    <i r="1">
      <x v="1"/>
    </i>
    <i r="2">
      <x v="367"/>
    </i>
    <i>
      <x v="155"/>
    </i>
    <i r="1">
      <x/>
    </i>
    <i r="2">
      <x v="229"/>
    </i>
    <i>
      <x v="156"/>
    </i>
    <i r="1">
      <x v="1"/>
    </i>
    <i r="2">
      <x v="378"/>
    </i>
    <i>
      <x v="157"/>
    </i>
    <i r="1">
      <x v="1"/>
    </i>
    <i r="2">
      <x v="344"/>
    </i>
    <i>
      <x v="158"/>
    </i>
    <i r="1">
      <x/>
    </i>
    <i r="2">
      <x v="452"/>
    </i>
    <i>
      <x v="159"/>
    </i>
    <i r="1">
      <x/>
    </i>
    <i r="2">
      <x v="1"/>
    </i>
    <i>
      <x v="160"/>
    </i>
    <i r="1">
      <x/>
    </i>
    <i r="2">
      <x v="74"/>
    </i>
    <i>
      <x v="161"/>
    </i>
    <i r="1">
      <x v="1"/>
    </i>
    <i r="2">
      <x v="218"/>
    </i>
    <i>
      <x v="162"/>
    </i>
    <i r="1">
      <x v="1"/>
    </i>
    <i r="2">
      <x v="44"/>
    </i>
    <i>
      <x v="163"/>
    </i>
    <i r="1">
      <x/>
    </i>
    <i r="2">
      <x v="409"/>
    </i>
    <i>
      <x v="164"/>
    </i>
    <i r="1">
      <x/>
    </i>
    <i r="2">
      <x v="111"/>
    </i>
    <i>
      <x v="165"/>
    </i>
    <i r="1">
      <x v="1"/>
    </i>
    <i r="2">
      <x v="385"/>
    </i>
    <i>
      <x v="166"/>
    </i>
    <i r="1">
      <x v="1"/>
    </i>
    <i r="2">
      <x v="127"/>
    </i>
    <i>
      <x v="167"/>
    </i>
    <i r="1">
      <x v="1"/>
    </i>
    <i r="2">
      <x v="185"/>
    </i>
    <i>
      <x v="168"/>
    </i>
    <i r="1">
      <x/>
    </i>
    <i r="2">
      <x v="5"/>
    </i>
    <i>
      <x v="169"/>
    </i>
    <i r="1">
      <x v="1"/>
    </i>
    <i r="2">
      <x v="348"/>
    </i>
    <i>
      <x v="170"/>
    </i>
    <i r="1">
      <x/>
    </i>
    <i r="2">
      <x v="382"/>
    </i>
    <i>
      <x v="171"/>
    </i>
    <i r="1">
      <x/>
    </i>
    <i r="2">
      <x v="449"/>
    </i>
    <i>
      <x v="172"/>
    </i>
    <i r="1">
      <x/>
    </i>
    <i r="2">
      <x v="224"/>
    </i>
    <i>
      <x v="173"/>
    </i>
    <i r="1">
      <x v="1"/>
    </i>
    <i r="2">
      <x v="86"/>
    </i>
    <i>
      <x v="174"/>
    </i>
    <i r="1">
      <x/>
    </i>
    <i r="2">
      <x v="51"/>
    </i>
    <i>
      <x v="175"/>
    </i>
    <i r="1">
      <x/>
    </i>
    <i r="2">
      <x v="297"/>
    </i>
    <i>
      <x v="176"/>
    </i>
    <i r="1">
      <x/>
    </i>
    <i r="2">
      <x v="373"/>
    </i>
    <i>
      <x v="177"/>
    </i>
    <i r="1">
      <x v="1"/>
    </i>
    <i r="2">
      <x v="471"/>
    </i>
    <i>
      <x v="178"/>
    </i>
    <i r="1">
      <x/>
    </i>
    <i r="2">
      <x v="231"/>
    </i>
    <i>
      <x v="179"/>
    </i>
    <i r="1">
      <x/>
    </i>
    <i r="2">
      <x v="137"/>
    </i>
    <i>
      <x v="180"/>
    </i>
    <i r="1">
      <x v="1"/>
    </i>
    <i r="2">
      <x v="28"/>
    </i>
    <i>
      <x v="181"/>
    </i>
    <i r="1">
      <x v="1"/>
    </i>
    <i r="2">
      <x v="353"/>
    </i>
    <i>
      <x v="182"/>
    </i>
    <i r="1">
      <x/>
    </i>
    <i r="2">
      <x v="395"/>
    </i>
    <i>
      <x v="183"/>
    </i>
    <i r="1">
      <x/>
    </i>
    <i r="2">
      <x v="425"/>
    </i>
    <i>
      <x v="184"/>
    </i>
    <i r="1">
      <x/>
    </i>
    <i r="2">
      <x v="110"/>
    </i>
    <i>
      <x v="185"/>
    </i>
    <i r="1">
      <x v="1"/>
    </i>
    <i r="2">
      <x v="288"/>
    </i>
    <i>
      <x v="186"/>
    </i>
    <i r="1">
      <x v="1"/>
    </i>
    <i r="2">
      <x v="412"/>
    </i>
    <i>
      <x v="187"/>
    </i>
    <i r="1">
      <x/>
    </i>
    <i r="2">
      <x v="414"/>
    </i>
    <i>
      <x v="188"/>
    </i>
    <i r="1">
      <x/>
    </i>
    <i r="2">
      <x v="124"/>
    </i>
    <i>
      <x v="189"/>
    </i>
    <i r="1">
      <x v="1"/>
    </i>
    <i r="2">
      <x v="196"/>
    </i>
    <i>
      <x v="190"/>
    </i>
    <i r="1">
      <x v="1"/>
    </i>
    <i r="2">
      <x v="376"/>
    </i>
    <i>
      <x v="191"/>
    </i>
    <i r="1">
      <x/>
    </i>
    <i r="2">
      <x v="211"/>
    </i>
    <i>
      <x v="192"/>
    </i>
    <i r="1">
      <x v="1"/>
    </i>
    <i r="2">
      <x v="396"/>
    </i>
    <i>
      <x v="193"/>
    </i>
    <i r="1">
      <x v="1"/>
    </i>
    <i r="2">
      <x v="66"/>
    </i>
    <i>
      <x v="194"/>
    </i>
    <i r="1">
      <x/>
    </i>
    <i r="2">
      <x v="496"/>
    </i>
    <i>
      <x v="195"/>
    </i>
    <i r="1">
      <x v="1"/>
    </i>
    <i r="2">
      <x v="472"/>
    </i>
    <i>
      <x v="196"/>
    </i>
    <i r="1">
      <x v="1"/>
    </i>
    <i r="2">
      <x v="45"/>
    </i>
    <i>
      <x v="197"/>
    </i>
    <i r="1">
      <x v="1"/>
    </i>
    <i r="2">
      <x v="374"/>
    </i>
    <i>
      <x v="198"/>
    </i>
    <i r="1">
      <x/>
    </i>
    <i r="2">
      <x v="377"/>
    </i>
    <i>
      <x v="199"/>
    </i>
    <i r="1">
      <x/>
    </i>
    <i r="2">
      <x v="295"/>
    </i>
    <i>
      <x v="200"/>
    </i>
    <i r="1">
      <x/>
    </i>
    <i r="2">
      <x v="130"/>
    </i>
    <i>
      <x v="201"/>
    </i>
    <i r="1">
      <x v="1"/>
    </i>
    <i r="2">
      <x v="134"/>
    </i>
    <i>
      <x v="202"/>
    </i>
    <i r="1">
      <x v="1"/>
    </i>
    <i r="2">
      <x v="93"/>
    </i>
    <i>
      <x v="203"/>
    </i>
    <i r="1">
      <x/>
    </i>
    <i r="2">
      <x v="300"/>
    </i>
    <i>
      <x v="204"/>
    </i>
    <i r="1">
      <x/>
    </i>
    <i r="2">
      <x v="342"/>
    </i>
    <i>
      <x v="205"/>
    </i>
    <i r="1">
      <x/>
    </i>
    <i r="2">
      <x v="316"/>
    </i>
    <i>
      <x v="206"/>
    </i>
    <i r="1">
      <x/>
    </i>
    <i r="2">
      <x v="169"/>
    </i>
    <i>
      <x v="207"/>
    </i>
    <i r="1">
      <x/>
    </i>
    <i r="2">
      <x v="61"/>
    </i>
    <i>
      <x v="208"/>
    </i>
    <i r="1">
      <x v="1"/>
    </i>
    <i r="2">
      <x v="430"/>
    </i>
    <i>
      <x v="209"/>
    </i>
    <i r="1">
      <x/>
    </i>
    <i r="2">
      <x v="25"/>
    </i>
    <i>
      <x v="210"/>
    </i>
    <i r="1">
      <x/>
    </i>
    <i r="2">
      <x v="456"/>
    </i>
    <i>
      <x v="211"/>
    </i>
    <i r="1">
      <x/>
    </i>
    <i r="2">
      <x v="281"/>
    </i>
    <i>
      <x v="212"/>
    </i>
    <i r="1">
      <x/>
    </i>
    <i r="2">
      <x v="355"/>
    </i>
    <i>
      <x v="213"/>
    </i>
    <i r="1">
      <x/>
    </i>
    <i r="2">
      <x v="301"/>
    </i>
    <i>
      <x v="214"/>
    </i>
    <i r="1">
      <x v="1"/>
    </i>
    <i r="2">
      <x v="293"/>
    </i>
    <i>
      <x v="215"/>
    </i>
    <i r="1">
      <x/>
    </i>
    <i r="2">
      <x v="84"/>
    </i>
    <i>
      <x v="216"/>
    </i>
    <i r="1">
      <x v="1"/>
    </i>
    <i r="2">
      <x v="402"/>
    </i>
    <i>
      <x v="217"/>
    </i>
    <i r="1">
      <x v="1"/>
    </i>
    <i r="2">
      <x v="420"/>
    </i>
    <i>
      <x v="218"/>
    </i>
    <i r="1">
      <x v="1"/>
    </i>
    <i r="2">
      <x v="190"/>
    </i>
    <i>
      <x v="219"/>
    </i>
    <i r="1">
      <x v="1"/>
    </i>
    <i r="2">
      <x v="339"/>
    </i>
    <i>
      <x v="220"/>
    </i>
    <i r="1">
      <x/>
    </i>
    <i r="2">
      <x v="312"/>
    </i>
    <i>
      <x v="221"/>
    </i>
    <i r="1">
      <x/>
    </i>
    <i r="2">
      <x v="7"/>
    </i>
    <i>
      <x v="222"/>
    </i>
    <i r="1">
      <x/>
    </i>
    <i r="2">
      <x v="34"/>
    </i>
    <i>
      <x v="223"/>
    </i>
    <i r="1">
      <x v="1"/>
    </i>
    <i r="2">
      <x v="487"/>
    </i>
    <i>
      <x v="224"/>
    </i>
    <i r="1">
      <x/>
    </i>
    <i r="2">
      <x v="324"/>
    </i>
    <i>
      <x v="225"/>
    </i>
    <i r="1">
      <x/>
    </i>
    <i r="2">
      <x v="133"/>
    </i>
    <i>
      <x v="226"/>
    </i>
    <i r="1">
      <x/>
    </i>
    <i r="2">
      <x v="213"/>
    </i>
    <i>
      <x v="227"/>
    </i>
    <i r="1">
      <x v="1"/>
    </i>
    <i r="2">
      <x v="125"/>
    </i>
    <i>
      <x v="228"/>
    </i>
    <i r="1">
      <x v="1"/>
    </i>
    <i r="2">
      <x v="458"/>
    </i>
    <i>
      <x v="229"/>
    </i>
    <i r="1">
      <x v="1"/>
    </i>
    <i r="2">
      <x v="180"/>
    </i>
    <i>
      <x v="230"/>
    </i>
    <i r="1">
      <x v="1"/>
    </i>
    <i r="2">
      <x v="443"/>
    </i>
    <i>
      <x v="231"/>
    </i>
    <i r="1">
      <x v="1"/>
    </i>
    <i r="2">
      <x v="403"/>
    </i>
    <i>
      <x v="232"/>
    </i>
    <i r="1">
      <x/>
    </i>
    <i r="2">
      <x v="340"/>
    </i>
    <i>
      <x v="233"/>
    </i>
    <i r="1">
      <x/>
    </i>
    <i r="2">
      <x v="350"/>
    </i>
    <i>
      <x v="234"/>
    </i>
    <i r="1">
      <x/>
    </i>
    <i r="2">
      <x v="164"/>
    </i>
    <i>
      <x v="235"/>
    </i>
    <i r="1">
      <x v="1"/>
    </i>
    <i r="2">
      <x v="78"/>
    </i>
    <i>
      <x v="236"/>
    </i>
    <i r="1">
      <x v="1"/>
    </i>
    <i r="2">
      <x v="256"/>
    </i>
    <i>
      <x v="237"/>
    </i>
    <i r="1">
      <x v="1"/>
    </i>
    <i r="2">
      <x v="131"/>
    </i>
    <i>
      <x v="238"/>
    </i>
    <i r="1">
      <x/>
    </i>
    <i r="2">
      <x v="463"/>
    </i>
    <i r="1">
      <x v="1"/>
    </i>
    <i r="2">
      <x v="212"/>
    </i>
    <i>
      <x v="239"/>
    </i>
    <i r="1">
      <x/>
    </i>
    <i r="2">
      <x v="20"/>
    </i>
    <i>
      <x v="240"/>
    </i>
    <i r="1">
      <x/>
    </i>
    <i r="2">
      <x v="307"/>
    </i>
    <i>
      <x v="241"/>
    </i>
    <i r="1">
      <x v="1"/>
    </i>
    <i r="2">
      <x v="435"/>
    </i>
    <i>
      <x v="242"/>
    </i>
    <i r="1">
      <x/>
    </i>
    <i r="2">
      <x v="239"/>
    </i>
    <i>
      <x v="243"/>
    </i>
    <i r="1">
      <x/>
    </i>
    <i r="2">
      <x v="27"/>
    </i>
    <i>
      <x v="244"/>
    </i>
    <i r="1">
      <x v="1"/>
    </i>
    <i r="2">
      <x v="49"/>
    </i>
    <i>
      <x v="245"/>
    </i>
    <i r="1">
      <x v="1"/>
    </i>
    <i r="2">
      <x v="483"/>
    </i>
    <i>
      <x v="246"/>
    </i>
    <i r="1">
      <x/>
    </i>
    <i r="2">
      <x v="223"/>
    </i>
    <i>
      <x v="247"/>
    </i>
    <i r="1">
      <x/>
    </i>
    <i r="2">
      <x v="431"/>
    </i>
    <i>
      <x v="248"/>
    </i>
    <i r="1">
      <x v="1"/>
    </i>
    <i r="2">
      <x v="157"/>
    </i>
    <i>
      <x v="249"/>
    </i>
    <i r="1">
      <x v="1"/>
    </i>
    <i r="2">
      <x v="167"/>
    </i>
    <i>
      <x v="250"/>
    </i>
    <i r="1">
      <x v="1"/>
    </i>
    <i r="2">
      <x v="411"/>
    </i>
    <i>
      <x v="251"/>
    </i>
    <i r="1">
      <x/>
    </i>
    <i r="2">
      <x v="135"/>
    </i>
    <i>
      <x v="252"/>
    </i>
    <i r="1">
      <x v="1"/>
    </i>
    <i r="2">
      <x v="47"/>
    </i>
    <i>
      <x v="253"/>
    </i>
    <i r="1">
      <x v="1"/>
    </i>
    <i r="2">
      <x v="379"/>
    </i>
    <i>
      <x v="254"/>
    </i>
    <i r="1">
      <x/>
    </i>
    <i r="2">
      <x v="477"/>
    </i>
    <i>
      <x v="255"/>
    </i>
    <i r="1">
      <x/>
    </i>
    <i r="2">
      <x v="32"/>
    </i>
    <i>
      <x v="256"/>
    </i>
    <i r="1">
      <x v="1"/>
    </i>
    <i r="2">
      <x v="366"/>
    </i>
    <i>
      <x v="257"/>
    </i>
    <i r="1">
      <x/>
    </i>
    <i r="2">
      <x v="240"/>
    </i>
    <i>
      <x v="258"/>
    </i>
    <i r="1">
      <x v="1"/>
    </i>
    <i r="2">
      <x v="222"/>
    </i>
    <i>
      <x v="259"/>
    </i>
    <i r="1">
      <x/>
    </i>
    <i r="2">
      <x v="115"/>
    </i>
    <i>
      <x v="260"/>
    </i>
    <i r="1">
      <x/>
    </i>
    <i r="2">
      <x v="158"/>
    </i>
    <i>
      <x v="261"/>
    </i>
    <i r="1">
      <x/>
    </i>
    <i r="2">
      <x v="460"/>
    </i>
    <i>
      <x v="262"/>
    </i>
    <i r="1">
      <x/>
    </i>
    <i r="2">
      <x v="148"/>
    </i>
    <i>
      <x v="263"/>
    </i>
    <i r="1">
      <x v="1"/>
    </i>
    <i r="2">
      <x v="407"/>
    </i>
    <i>
      <x v="264"/>
    </i>
    <i r="1">
      <x v="1"/>
    </i>
    <i r="2">
      <x v="464"/>
    </i>
    <i>
      <x v="265"/>
    </i>
    <i r="1">
      <x v="1"/>
    </i>
    <i r="2">
      <x v="495"/>
    </i>
    <i>
      <x v="266"/>
    </i>
    <i r="1">
      <x/>
    </i>
    <i r="2">
      <x v="351"/>
    </i>
    <i>
      <x v="267"/>
    </i>
    <i r="1">
      <x/>
    </i>
    <i r="2">
      <x v="2"/>
    </i>
    <i>
      <x v="268"/>
    </i>
    <i r="1">
      <x v="1"/>
    </i>
    <i r="2">
      <x v="314"/>
    </i>
    <i>
      <x v="269"/>
    </i>
    <i r="1">
      <x/>
    </i>
    <i r="2">
      <x v="421"/>
    </i>
    <i>
      <x v="270"/>
    </i>
    <i r="1">
      <x/>
    </i>
    <i r="2">
      <x v="266"/>
    </i>
    <i>
      <x v="271"/>
    </i>
    <i r="1">
      <x v="1"/>
    </i>
    <i r="2">
      <x v="58"/>
    </i>
    <i>
      <x v="272"/>
    </i>
    <i r="1">
      <x v="1"/>
    </i>
    <i r="2">
      <x v="81"/>
    </i>
    <i>
      <x v="273"/>
    </i>
    <i r="1">
      <x v="1"/>
    </i>
    <i r="2">
      <x v="220"/>
    </i>
    <i>
      <x v="274"/>
    </i>
    <i r="1">
      <x v="1"/>
    </i>
    <i r="2">
      <x v="221"/>
    </i>
    <i>
      <x v="275"/>
    </i>
    <i r="1">
      <x v="1"/>
    </i>
    <i r="2">
      <x v="415"/>
    </i>
    <i>
      <x v="276"/>
    </i>
    <i r="1">
      <x/>
    </i>
    <i r="2">
      <x v="129"/>
    </i>
    <i>
      <x v="277"/>
    </i>
    <i r="1">
      <x/>
    </i>
    <i r="2">
      <x v="446"/>
    </i>
    <i>
      <x v="278"/>
    </i>
    <i r="1">
      <x/>
    </i>
    <i r="2">
      <x v="462"/>
    </i>
    <i>
      <x v="279"/>
    </i>
    <i r="1">
      <x/>
    </i>
    <i r="2">
      <x v="16"/>
    </i>
    <i>
      <x v="280"/>
    </i>
    <i r="1">
      <x v="1"/>
    </i>
    <i r="2">
      <x v="315"/>
    </i>
    <i>
      <x v="281"/>
    </i>
    <i r="1">
      <x/>
    </i>
    <i r="2">
      <x v="272"/>
    </i>
    <i>
      <x v="282"/>
    </i>
    <i r="1">
      <x v="1"/>
    </i>
    <i r="2">
      <x v="192"/>
    </i>
    <i>
      <x v="283"/>
    </i>
    <i r="1">
      <x/>
    </i>
    <i r="2">
      <x v="434"/>
    </i>
    <i>
      <x v="284"/>
    </i>
    <i r="1">
      <x v="1"/>
    </i>
    <i r="2">
      <x v="260"/>
    </i>
    <i>
      <x v="285"/>
    </i>
    <i r="1">
      <x/>
    </i>
    <i r="2">
      <x v="286"/>
    </i>
    <i>
      <x v="286"/>
    </i>
    <i r="1">
      <x v="1"/>
    </i>
    <i r="2">
      <x v="65"/>
    </i>
    <i>
      <x v="287"/>
    </i>
    <i r="1">
      <x/>
    </i>
    <i r="2">
      <x v="387"/>
    </i>
    <i>
      <x v="288"/>
    </i>
    <i r="1">
      <x/>
    </i>
    <i r="2">
      <x v="327"/>
    </i>
    <i>
      <x v="289"/>
    </i>
    <i r="1">
      <x/>
    </i>
    <i r="2">
      <x v="85"/>
    </i>
    <i>
      <x v="290"/>
    </i>
    <i r="1">
      <x/>
    </i>
    <i r="2">
      <x v="109"/>
    </i>
    <i>
      <x v="291"/>
    </i>
    <i r="1">
      <x/>
    </i>
    <i r="2">
      <x v="19"/>
    </i>
    <i>
      <x v="292"/>
    </i>
    <i r="1">
      <x/>
    </i>
    <i r="2">
      <x v="357"/>
    </i>
    <i>
      <x v="293"/>
    </i>
    <i r="1">
      <x v="1"/>
    </i>
    <i r="2">
      <x v="476"/>
    </i>
    <i>
      <x v="294"/>
    </i>
    <i r="1">
      <x/>
    </i>
    <i r="2">
      <x v="249"/>
    </i>
    <i>
      <x v="295"/>
    </i>
    <i r="1">
      <x/>
    </i>
    <i r="2">
      <x v="253"/>
    </i>
    <i>
      <x v="296"/>
    </i>
    <i r="1">
      <x/>
    </i>
    <i r="2">
      <x v="188"/>
    </i>
    <i>
      <x v="297"/>
    </i>
    <i r="1">
      <x v="1"/>
    </i>
    <i r="2">
      <x v="31"/>
    </i>
    <i>
      <x v="298"/>
    </i>
    <i r="1">
      <x v="1"/>
    </i>
    <i r="2">
      <x v="258"/>
    </i>
    <i>
      <x v="299"/>
    </i>
    <i r="1">
      <x/>
    </i>
    <i r="2">
      <x v="439"/>
    </i>
    <i>
      <x v="300"/>
    </i>
    <i r="1">
      <x v="1"/>
    </i>
    <i r="2">
      <x v="298"/>
    </i>
    <i>
      <x v="301"/>
    </i>
    <i r="1">
      <x v="1"/>
    </i>
    <i r="2">
      <x v="225"/>
    </i>
    <i>
      <x v="302"/>
    </i>
    <i r="1">
      <x/>
    </i>
    <i r="2">
      <x v="422"/>
    </i>
    <i>
      <x v="303"/>
    </i>
    <i r="1">
      <x v="1"/>
    </i>
    <i r="2">
      <x v="322"/>
    </i>
    <i>
      <x v="304"/>
    </i>
    <i r="1">
      <x/>
    </i>
    <i r="2">
      <x v="370"/>
    </i>
    <i>
      <x v="305"/>
    </i>
    <i r="1">
      <x v="1"/>
    </i>
    <i r="2">
      <x v="361"/>
    </i>
    <i>
      <x v="306"/>
    </i>
    <i r="1">
      <x/>
    </i>
    <i r="2">
      <x v="473"/>
    </i>
    <i>
      <x v="307"/>
    </i>
    <i r="1">
      <x/>
    </i>
    <i r="2">
      <x v="178"/>
    </i>
    <i>
      <x v="308"/>
    </i>
    <i r="1">
      <x/>
    </i>
    <i r="2">
      <x v="243"/>
    </i>
    <i>
      <x v="309"/>
    </i>
    <i r="1">
      <x/>
    </i>
    <i r="2">
      <x v="335"/>
    </i>
    <i>
      <x v="310"/>
    </i>
    <i r="1">
      <x v="1"/>
    </i>
    <i r="2">
      <x v="146"/>
    </i>
    <i>
      <x v="311"/>
    </i>
    <i r="1">
      <x v="1"/>
    </i>
    <i r="2">
      <x v="160"/>
    </i>
    <i>
      <x v="312"/>
    </i>
    <i r="1">
      <x v="1"/>
    </i>
    <i r="2">
      <x v="166"/>
    </i>
    <i>
      <x v="313"/>
    </i>
    <i r="1">
      <x v="1"/>
    </i>
    <i r="2">
      <x v="332"/>
    </i>
    <i>
      <x v="314"/>
    </i>
    <i r="1">
      <x v="1"/>
    </i>
    <i r="2">
      <x v="187"/>
    </i>
    <i>
      <x v="315"/>
    </i>
    <i r="1">
      <x/>
    </i>
    <i r="2">
      <x v="404"/>
    </i>
    <i>
      <x v="316"/>
    </i>
    <i r="1">
      <x/>
    </i>
    <i r="2">
      <x v="386"/>
    </i>
    <i>
      <x v="317"/>
    </i>
    <i r="1">
      <x/>
    </i>
    <i r="2">
      <x v="205"/>
    </i>
    <i>
      <x v="318"/>
    </i>
    <i r="1">
      <x v="1"/>
    </i>
    <i r="2">
      <x v="250"/>
    </i>
    <i>
      <x v="319"/>
    </i>
    <i r="1">
      <x v="1"/>
    </i>
    <i r="2">
      <x v="304"/>
    </i>
    <i>
      <x v="320"/>
    </i>
    <i r="1">
      <x/>
    </i>
    <i r="2">
      <x v="139"/>
    </i>
    <i>
      <x v="321"/>
    </i>
    <i r="1">
      <x/>
    </i>
    <i r="2">
      <x v="54"/>
    </i>
    <i>
      <x v="322"/>
    </i>
    <i r="1">
      <x v="1"/>
    </i>
    <i r="2">
      <x v="268"/>
    </i>
    <i>
      <x v="323"/>
    </i>
    <i r="1">
      <x/>
    </i>
    <i r="2">
      <x v="200"/>
    </i>
    <i>
      <x v="324"/>
    </i>
    <i r="1">
      <x/>
    </i>
    <i r="2">
      <x v="417"/>
    </i>
    <i>
      <x v="325"/>
    </i>
    <i r="1">
      <x v="1"/>
    </i>
    <i r="2">
      <x v="363"/>
    </i>
    <i>
      <x v="326"/>
    </i>
    <i r="1">
      <x/>
    </i>
    <i r="2">
      <x v="390"/>
    </i>
    <i>
      <x v="327"/>
    </i>
    <i r="1">
      <x v="1"/>
    </i>
    <i r="2">
      <x v="371"/>
    </i>
    <i>
      <x v="328"/>
    </i>
    <i r="1">
      <x/>
    </i>
    <i r="2">
      <x v="441"/>
    </i>
    <i>
      <x v="329"/>
    </i>
    <i r="1">
      <x/>
    </i>
    <i r="2">
      <x v="491"/>
    </i>
    <i>
      <x v="330"/>
    </i>
    <i r="1">
      <x/>
    </i>
    <i r="2">
      <x v="91"/>
    </i>
    <i>
      <x v="331"/>
    </i>
    <i r="1">
      <x/>
    </i>
    <i r="2">
      <x v="186"/>
    </i>
    <i>
      <x v="332"/>
    </i>
    <i r="1">
      <x/>
    </i>
    <i r="2">
      <x v="12"/>
    </i>
    <i>
      <x v="333"/>
    </i>
    <i r="1">
      <x/>
    </i>
    <i r="2">
      <x v="418"/>
    </i>
    <i>
      <x v="334"/>
    </i>
    <i r="1">
      <x v="1"/>
    </i>
    <i r="2">
      <x v="126"/>
    </i>
    <i>
      <x v="335"/>
    </i>
    <i r="1">
      <x v="1"/>
    </i>
    <i r="2">
      <x v="67"/>
    </i>
    <i>
      <x v="336"/>
    </i>
    <i r="1">
      <x/>
    </i>
    <i r="2">
      <x v="155"/>
    </i>
    <i>
      <x v="337"/>
    </i>
    <i r="1">
      <x/>
    </i>
    <i r="2">
      <x v="470"/>
    </i>
    <i>
      <x v="338"/>
    </i>
    <i r="1">
      <x/>
    </i>
    <i r="2">
      <x v="375"/>
    </i>
    <i>
      <x v="339"/>
    </i>
    <i r="1">
      <x/>
    </i>
    <i r="2">
      <x v="356"/>
    </i>
    <i>
      <x v="340"/>
    </i>
    <i r="1">
      <x v="1"/>
    </i>
    <i r="2">
      <x v="123"/>
    </i>
    <i>
      <x v="341"/>
    </i>
    <i r="1">
      <x v="1"/>
    </i>
    <i r="2">
      <x v="397"/>
    </i>
    <i>
      <x v="342"/>
    </i>
    <i r="1">
      <x/>
    </i>
    <i r="2">
      <x v="69"/>
    </i>
    <i>
      <x v="343"/>
    </i>
    <i r="1">
      <x/>
    </i>
    <i r="2">
      <x v="23"/>
    </i>
    <i>
      <x v="344"/>
    </i>
    <i r="1">
      <x v="1"/>
    </i>
    <i r="2">
      <x v="380"/>
    </i>
    <i>
      <x v="345"/>
    </i>
    <i r="1">
      <x/>
    </i>
    <i r="2">
      <x v="209"/>
    </i>
    <i>
      <x v="346"/>
    </i>
    <i r="1">
      <x/>
    </i>
    <i r="2">
      <x v="346"/>
    </i>
    <i>
      <x v="347"/>
    </i>
    <i r="1">
      <x/>
    </i>
    <i r="2">
      <x v="50"/>
    </i>
    <i>
      <x v="348"/>
    </i>
    <i r="1">
      <x v="1"/>
    </i>
    <i r="2">
      <x v="237"/>
    </i>
    <i>
      <x v="349"/>
    </i>
    <i r="1">
      <x/>
    </i>
    <i r="2">
      <x v="182"/>
    </i>
    <i>
      <x v="350"/>
    </i>
    <i r="1">
      <x v="1"/>
    </i>
    <i r="2">
      <x v="179"/>
    </i>
    <i>
      <x v="351"/>
    </i>
    <i r="1">
      <x/>
    </i>
    <i r="2">
      <x v="136"/>
    </i>
    <i>
      <x v="352"/>
    </i>
    <i r="1">
      <x/>
    </i>
    <i r="2">
      <x v="36"/>
    </i>
    <i>
      <x v="353"/>
    </i>
    <i r="1">
      <x/>
    </i>
    <i r="2">
      <x v="372"/>
    </i>
    <i>
      <x v="354"/>
    </i>
    <i r="1">
      <x v="1"/>
    </i>
    <i r="2">
      <x v="308"/>
    </i>
    <i>
      <x v="355"/>
    </i>
    <i r="1">
      <x v="1"/>
    </i>
    <i r="2">
      <x v="292"/>
    </i>
    <i>
      <x v="356"/>
    </i>
    <i r="1">
      <x/>
    </i>
    <i r="2">
      <x v="83"/>
    </i>
    <i>
      <x v="357"/>
    </i>
    <i r="1">
      <x/>
    </i>
    <i r="2">
      <x v="442"/>
    </i>
    <i>
      <x v="358"/>
    </i>
    <i r="1">
      <x v="1"/>
    </i>
    <i r="2">
      <x v="423"/>
    </i>
    <i>
      <x v="359"/>
    </i>
    <i r="1">
      <x v="1"/>
    </i>
    <i r="2">
      <x v="451"/>
    </i>
    <i>
      <x v="360"/>
    </i>
    <i r="1">
      <x/>
    </i>
    <i r="2">
      <x v="438"/>
    </i>
    <i>
      <x v="361"/>
    </i>
    <i r="1">
      <x v="1"/>
    </i>
    <i r="2">
      <x v="138"/>
    </i>
    <i>
      <x v="362"/>
    </i>
    <i r="1">
      <x/>
    </i>
    <i r="2">
      <x v="338"/>
    </i>
    <i>
      <x v="363"/>
    </i>
    <i r="1">
      <x/>
    </i>
    <i r="2">
      <x v="72"/>
    </i>
    <i>
      <x v="364"/>
    </i>
    <i r="1">
      <x v="1"/>
    </i>
    <i r="2">
      <x v="68"/>
    </i>
    <i>
      <x v="365"/>
    </i>
    <i r="1">
      <x v="1"/>
    </i>
    <i r="2">
      <x v="245"/>
    </i>
    <i>
      <x v="366"/>
    </i>
    <i r="1">
      <x/>
    </i>
    <i r="2">
      <x v="343"/>
    </i>
    <i>
      <x v="367"/>
    </i>
    <i r="1">
      <x v="1"/>
    </i>
    <i r="2">
      <x v="13"/>
    </i>
    <i>
      <x v="368"/>
    </i>
    <i r="1">
      <x v="1"/>
    </i>
    <i r="2">
      <x v="248"/>
    </i>
    <i>
      <x v="369"/>
    </i>
    <i r="1">
      <x v="1"/>
    </i>
    <i r="2">
      <x v="365"/>
    </i>
    <i>
      <x v="370"/>
    </i>
    <i r="1">
      <x v="1"/>
    </i>
    <i r="2">
      <x v="80"/>
    </i>
    <i>
      <x v="371"/>
    </i>
    <i r="1">
      <x/>
    </i>
    <i r="2">
      <x v="17"/>
    </i>
    <i>
      <x v="372"/>
    </i>
    <i r="1">
      <x/>
    </i>
    <i r="2">
      <x v="238"/>
    </i>
    <i>
      <x v="373"/>
    </i>
    <i r="1">
      <x/>
    </i>
    <i r="2">
      <x v="183"/>
    </i>
    <i>
      <x v="374"/>
    </i>
    <i r="1">
      <x v="1"/>
    </i>
    <i r="2">
      <x v="252"/>
    </i>
    <i>
      <x v="375"/>
    </i>
    <i r="1">
      <x/>
    </i>
    <i r="2">
      <x v="94"/>
    </i>
    <i>
      <x v="376"/>
    </i>
    <i r="1">
      <x v="1"/>
    </i>
    <i r="2">
      <x v="334"/>
    </i>
    <i>
      <x v="377"/>
    </i>
    <i r="1">
      <x/>
    </i>
    <i r="2">
      <x v="170"/>
    </i>
    <i>
      <x v="378"/>
    </i>
    <i r="1">
      <x v="1"/>
    </i>
    <i r="2">
      <x v="140"/>
    </i>
    <i>
      <x v="379"/>
    </i>
    <i r="1">
      <x/>
    </i>
    <i r="2">
      <x v="156"/>
    </i>
    <i>
      <x v="380"/>
    </i>
    <i r="1">
      <x/>
    </i>
    <i r="2">
      <x v="144"/>
    </i>
    <i>
      <x v="381"/>
    </i>
    <i r="1">
      <x/>
    </i>
    <i r="2">
      <x v="465"/>
    </i>
    <i>
      <x v="382"/>
    </i>
    <i r="1">
      <x/>
    </i>
    <i r="2">
      <x v="26"/>
    </i>
    <i>
      <x v="383"/>
    </i>
    <i r="1">
      <x v="1"/>
    </i>
    <i r="2">
      <x v="161"/>
    </i>
    <i>
      <x v="384"/>
    </i>
    <i r="1">
      <x v="1"/>
    </i>
    <i r="2">
      <x v="475"/>
    </i>
    <i>
      <x v="385"/>
    </i>
    <i r="1">
      <x/>
    </i>
    <i r="2">
      <x v="3"/>
    </i>
    <i>
      <x v="386"/>
    </i>
    <i r="1">
      <x v="1"/>
    </i>
    <i r="2">
      <x v="39"/>
    </i>
    <i>
      <x v="387"/>
    </i>
    <i r="1">
      <x v="1"/>
    </i>
    <i r="2">
      <x v="427"/>
    </i>
    <i>
      <x v="388"/>
    </i>
    <i r="1">
      <x/>
    </i>
    <i r="2">
      <x v="331"/>
    </i>
    <i>
      <x v="389"/>
    </i>
    <i r="1">
      <x/>
    </i>
    <i r="2">
      <x v="79"/>
    </i>
    <i>
      <x v="390"/>
    </i>
    <i r="1">
      <x v="1"/>
    </i>
    <i r="2">
      <x v="22"/>
    </i>
    <i>
      <x v="391"/>
    </i>
    <i r="1">
      <x/>
    </i>
    <i r="2">
      <x v="151"/>
    </i>
    <i>
      <x v="392"/>
    </i>
    <i r="1">
      <x v="1"/>
    </i>
    <i r="2">
      <x v="296"/>
    </i>
    <i>
      <x v="393"/>
    </i>
    <i r="1">
      <x v="1"/>
    </i>
    <i r="2">
      <x v="89"/>
    </i>
    <i>
      <x v="394"/>
    </i>
    <i r="1">
      <x/>
    </i>
    <i r="2">
      <x v="141"/>
    </i>
    <i>
      <x v="395"/>
    </i>
    <i r="1">
      <x v="1"/>
    </i>
    <i r="2">
      <x v="227"/>
    </i>
    <i>
      <x v="396"/>
    </i>
    <i r="1">
      <x v="1"/>
    </i>
    <i r="2">
      <x v="320"/>
    </i>
    <i>
      <x v="397"/>
    </i>
    <i r="1">
      <x/>
    </i>
    <i r="2">
      <x v="96"/>
    </i>
    <i>
      <x v="398"/>
    </i>
    <i r="1">
      <x v="1"/>
    </i>
    <i r="2">
      <x v="37"/>
    </i>
    <i>
      <x v="399"/>
    </i>
    <i r="1">
      <x/>
    </i>
    <i r="2">
      <x v="330"/>
    </i>
    <i>
      <x v="400"/>
    </i>
    <i r="1">
      <x v="1"/>
    </i>
    <i r="2">
      <x v="309"/>
    </i>
    <i>
      <x v="401"/>
    </i>
    <i r="1">
      <x/>
    </i>
    <i r="2">
      <x v="215"/>
    </i>
    <i>
      <x v="402"/>
    </i>
    <i r="1">
      <x/>
    </i>
    <i r="2">
      <x v="210"/>
    </i>
    <i>
      <x v="403"/>
    </i>
    <i r="1">
      <x/>
    </i>
    <i r="2">
      <x v="468"/>
    </i>
    <i>
      <x v="404"/>
    </i>
    <i r="1">
      <x/>
    </i>
    <i r="2">
      <x v="73"/>
    </i>
    <i>
      <x v="405"/>
    </i>
    <i r="1">
      <x/>
    </i>
    <i r="2">
      <x v="264"/>
    </i>
    <i>
      <x v="406"/>
    </i>
    <i r="1">
      <x v="1"/>
    </i>
    <i r="2">
      <x v="118"/>
    </i>
    <i>
      <x v="407"/>
    </i>
    <i r="1">
      <x v="1"/>
    </i>
    <i r="2">
      <x v="305"/>
    </i>
    <i>
      <x v="408"/>
    </i>
    <i r="1">
      <x v="1"/>
    </i>
    <i r="2">
      <x v="347"/>
    </i>
    <i>
      <x v="409"/>
    </i>
    <i r="1">
      <x v="1"/>
    </i>
    <i r="2">
      <x v="358"/>
    </i>
    <i>
      <x v="410"/>
    </i>
    <i r="1">
      <x/>
    </i>
    <i r="2">
      <x v="467"/>
    </i>
    <i>
      <x v="411"/>
    </i>
    <i r="1">
      <x v="1"/>
    </i>
    <i r="2">
      <x v="277"/>
    </i>
    <i>
      <x v="412"/>
    </i>
    <i r="1">
      <x/>
    </i>
    <i r="2">
      <x v="100"/>
    </i>
    <i>
      <x v="413"/>
    </i>
    <i r="1">
      <x v="1"/>
    </i>
    <i r="2">
      <x v="326"/>
    </i>
    <i>
      <x v="414"/>
    </i>
    <i r="1">
      <x/>
    </i>
    <i r="2">
      <x v="432"/>
    </i>
    <i>
      <x v="415"/>
    </i>
    <i r="1">
      <x/>
    </i>
    <i r="2">
      <x v="488"/>
    </i>
    <i>
      <x v="416"/>
    </i>
    <i r="1">
      <x v="1"/>
    </i>
    <i r="2">
      <x v="207"/>
    </i>
    <i>
      <x v="417"/>
    </i>
    <i r="1">
      <x v="1"/>
    </i>
    <i r="2">
      <x v="278"/>
    </i>
    <i>
      <x v="418"/>
    </i>
    <i r="1">
      <x/>
    </i>
    <i r="2">
      <x v="498"/>
    </i>
    <i>
      <x v="419"/>
    </i>
    <i r="1">
      <x/>
    </i>
    <i r="2">
      <x v="55"/>
    </i>
    <i>
      <x v="420"/>
    </i>
    <i r="1">
      <x/>
    </i>
    <i r="2">
      <x v="106"/>
    </i>
    <i>
      <x v="421"/>
    </i>
    <i r="1">
      <x v="1"/>
    </i>
    <i r="2">
      <x v="413"/>
    </i>
    <i r="2">
      <x v="486"/>
    </i>
    <i>
      <x v="422"/>
    </i>
    <i r="1">
      <x/>
    </i>
    <i r="2">
      <x v="262"/>
    </i>
    <i>
      <x v="423"/>
    </i>
    <i r="1">
      <x v="1"/>
    </i>
    <i r="2">
      <x v="35"/>
    </i>
    <i>
      <x v="424"/>
    </i>
    <i r="1">
      <x v="1"/>
    </i>
    <i r="2">
      <x v="492"/>
    </i>
    <i>
      <x v="425"/>
    </i>
    <i r="1">
      <x v="1"/>
    </i>
    <i r="2">
      <x v="162"/>
    </i>
    <i>
      <x v="426"/>
    </i>
    <i r="1">
      <x v="1"/>
    </i>
    <i r="2">
      <x v="142"/>
    </i>
    <i>
      <x v="427"/>
    </i>
    <i r="1">
      <x v="1"/>
    </i>
    <i r="2">
      <x v="433"/>
    </i>
    <i>
      <x v="428"/>
    </i>
    <i r="1">
      <x/>
    </i>
    <i r="2">
      <x v="416"/>
    </i>
    <i>
      <x v="429"/>
    </i>
    <i r="1">
      <x v="1"/>
    </i>
    <i r="2">
      <x v="454"/>
    </i>
    <i>
      <x v="430"/>
    </i>
    <i r="1">
      <x v="1"/>
    </i>
    <i r="2">
      <x v="279"/>
    </i>
    <i>
      <x v="431"/>
    </i>
    <i r="1">
      <x v="1"/>
    </i>
    <i r="2">
      <x v="450"/>
    </i>
    <i>
      <x v="432"/>
    </i>
    <i r="1">
      <x/>
    </i>
    <i r="2">
      <x v="57"/>
    </i>
    <i>
      <x v="433"/>
    </i>
    <i r="1">
      <x v="1"/>
    </i>
    <i r="2">
      <x v="440"/>
    </i>
    <i>
      <x v="434"/>
    </i>
    <i r="1">
      <x v="1"/>
    </i>
    <i r="2">
      <x v="4"/>
    </i>
    <i>
      <x v="435"/>
    </i>
    <i r="1">
      <x v="1"/>
    </i>
    <i r="2">
      <x v="103"/>
    </i>
    <i>
      <x v="436"/>
    </i>
    <i r="1">
      <x v="1"/>
    </i>
    <i r="2">
      <x v="384"/>
    </i>
    <i>
      <x v="437"/>
    </i>
    <i r="1">
      <x v="1"/>
    </i>
    <i r="2">
      <x v="485"/>
    </i>
    <i>
      <x v="438"/>
    </i>
    <i r="1">
      <x v="1"/>
    </i>
    <i r="2">
      <x v="352"/>
    </i>
    <i>
      <x v="439"/>
    </i>
    <i r="1">
      <x/>
    </i>
    <i r="2">
      <x v="313"/>
    </i>
    <i>
      <x v="440"/>
    </i>
    <i r="1">
      <x v="1"/>
    </i>
    <i r="2">
      <x v="154"/>
    </i>
    <i>
      <x v="441"/>
    </i>
    <i r="1">
      <x/>
    </i>
    <i r="2">
      <x v="303"/>
    </i>
    <i>
      <x v="442"/>
    </i>
    <i r="1">
      <x/>
    </i>
    <i r="2">
      <x v="282"/>
    </i>
    <i>
      <x v="443"/>
    </i>
    <i r="1">
      <x v="1"/>
    </i>
    <i r="2">
      <x v="360"/>
    </i>
    <i>
      <x v="444"/>
    </i>
    <i r="1">
      <x v="1"/>
    </i>
    <i r="2">
      <x v="173"/>
    </i>
    <i>
      <x v="445"/>
    </i>
    <i r="1">
      <x/>
    </i>
    <i r="2">
      <x v="219"/>
    </i>
    <i>
      <x v="446"/>
    </i>
    <i r="1">
      <x v="1"/>
    </i>
    <i r="2">
      <x v="242"/>
    </i>
    <i>
      <x v="447"/>
    </i>
    <i r="1">
      <x v="1"/>
    </i>
    <i r="2">
      <x v="107"/>
    </i>
    <i>
      <x v="448"/>
    </i>
    <i r="1">
      <x/>
    </i>
    <i r="2">
      <x v="217"/>
    </i>
    <i>
      <x v="449"/>
    </i>
    <i r="1">
      <x v="1"/>
    </i>
    <i r="2">
      <x v="436"/>
    </i>
    <i>
      <x v="450"/>
    </i>
    <i r="1">
      <x v="1"/>
    </i>
    <i r="2">
      <x v="132"/>
    </i>
    <i>
      <x v="451"/>
    </i>
    <i r="1">
      <x v="1"/>
    </i>
    <i r="2">
      <x v="389"/>
    </i>
    <i>
      <x v="452"/>
    </i>
    <i r="1">
      <x/>
    </i>
    <i r="2">
      <x v="90"/>
    </i>
    <i>
      <x v="453"/>
    </i>
    <i r="1">
      <x v="1"/>
    </i>
    <i r="2">
      <x v="444"/>
    </i>
    <i>
      <x v="454"/>
    </i>
    <i r="1">
      <x/>
    </i>
    <i r="2">
      <x v="233"/>
    </i>
    <i>
      <x v="455"/>
    </i>
    <i r="1">
      <x/>
    </i>
    <i r="2">
      <x v="383"/>
    </i>
    <i>
      <x v="456"/>
    </i>
    <i r="1">
      <x/>
    </i>
    <i r="2">
      <x v="337"/>
    </i>
    <i>
      <x v="457"/>
    </i>
    <i r="1">
      <x/>
    </i>
    <i r="2">
      <x v="177"/>
    </i>
    <i>
      <x v="458"/>
    </i>
    <i r="1">
      <x/>
    </i>
    <i r="2">
      <x v="405"/>
    </i>
    <i>
      <x v="459"/>
    </i>
    <i r="1">
      <x/>
    </i>
    <i r="2">
      <x v="152"/>
    </i>
    <i>
      <x v="460"/>
    </i>
    <i r="1">
      <x/>
    </i>
    <i r="2">
      <x v="437"/>
    </i>
    <i>
      <x v="461"/>
    </i>
    <i r="1">
      <x/>
    </i>
    <i r="2">
      <x v="40"/>
    </i>
    <i>
      <x v="462"/>
    </i>
    <i r="1">
      <x/>
    </i>
    <i r="2">
      <x v="176"/>
    </i>
    <i>
      <x v="463"/>
    </i>
    <i r="1">
      <x/>
    </i>
    <i r="2">
      <x v="87"/>
    </i>
    <i>
      <x v="464"/>
    </i>
    <i r="1">
      <x v="1"/>
    </i>
    <i r="2">
      <x v="208"/>
    </i>
    <i>
      <x v="465"/>
    </i>
    <i r="1">
      <x/>
    </i>
    <i r="2">
      <x v="321"/>
    </i>
    <i>
      <x v="466"/>
    </i>
    <i r="1">
      <x/>
    </i>
    <i r="2">
      <x v="391"/>
    </i>
    <i>
      <x v="467"/>
    </i>
    <i r="1">
      <x/>
    </i>
    <i r="2">
      <x v="235"/>
    </i>
    <i>
      <x v="468"/>
    </i>
    <i r="1">
      <x v="1"/>
    </i>
    <i r="2">
      <x v="234"/>
    </i>
    <i>
      <x v="469"/>
    </i>
    <i r="1">
      <x v="1"/>
    </i>
    <i r="2">
      <x v="392"/>
    </i>
    <i>
      <x v="470"/>
    </i>
    <i r="1">
      <x/>
    </i>
    <i r="2">
      <x v="53"/>
    </i>
    <i>
      <x v="471"/>
    </i>
    <i r="1">
      <x v="1"/>
    </i>
    <i r="2">
      <x v="92"/>
    </i>
    <i>
      <x v="472"/>
    </i>
    <i r="1">
      <x/>
    </i>
    <i r="2">
      <x v="195"/>
    </i>
    <i>
      <x v="473"/>
    </i>
    <i r="1">
      <x v="1"/>
    </i>
    <i r="2">
      <x v="290"/>
    </i>
    <i>
      <x v="474"/>
    </i>
    <i r="1">
      <x/>
    </i>
    <i r="2">
      <x v="76"/>
    </i>
    <i>
      <x v="475"/>
    </i>
    <i r="1">
      <x/>
    </i>
    <i r="2">
      <x v="43"/>
    </i>
    <i>
      <x v="476"/>
    </i>
    <i r="1">
      <x v="1"/>
    </i>
    <i r="2">
      <x v="499"/>
    </i>
    <i>
      <x v="477"/>
    </i>
    <i r="1">
      <x v="1"/>
    </i>
    <i r="2">
      <x v="269"/>
    </i>
    <i>
      <x v="478"/>
    </i>
    <i r="1">
      <x v="1"/>
    </i>
    <i r="2">
      <x v="302"/>
    </i>
    <i>
      <x v="479"/>
    </i>
    <i r="1">
      <x v="1"/>
    </i>
    <i r="2">
      <x v="112"/>
    </i>
    <i>
      <x v="480"/>
    </i>
    <i r="1">
      <x/>
    </i>
    <i r="2">
      <x v="119"/>
    </i>
    <i>
      <x v="481"/>
    </i>
    <i r="1">
      <x/>
    </i>
    <i r="2">
      <x v="419"/>
    </i>
    <i>
      <x v="482"/>
    </i>
    <i r="1">
      <x v="1"/>
    </i>
    <i r="2">
      <x v="255"/>
    </i>
    <i>
      <x v="483"/>
    </i>
    <i r="1">
      <x v="1"/>
    </i>
    <i r="2">
      <x v="459"/>
    </i>
    <i>
      <x v="484"/>
    </i>
    <i r="1">
      <x/>
    </i>
    <i r="2">
      <x v="273"/>
    </i>
    <i>
      <x v="485"/>
    </i>
    <i r="1">
      <x v="1"/>
    </i>
    <i r="2">
      <x v="254"/>
    </i>
    <i>
      <x v="486"/>
    </i>
    <i r="1">
      <x/>
    </i>
    <i r="2">
      <x v="333"/>
    </i>
    <i>
      <x v="487"/>
    </i>
    <i r="1">
      <x v="1"/>
    </i>
    <i r="2">
      <x v="202"/>
    </i>
    <i>
      <x v="488"/>
    </i>
    <i r="1">
      <x/>
    </i>
    <i r="2">
      <x v="59"/>
    </i>
    <i>
      <x v="489"/>
    </i>
    <i r="1">
      <x/>
    </i>
    <i r="2">
      <x v="241"/>
    </i>
    <i>
      <x v="490"/>
    </i>
    <i r="1">
      <x v="1"/>
    </i>
    <i r="2">
      <x v="184"/>
    </i>
    <i>
      <x v="491"/>
    </i>
    <i r="1">
      <x v="1"/>
    </i>
    <i r="2">
      <x v="453"/>
    </i>
    <i>
      <x v="492"/>
    </i>
    <i r="1">
      <x/>
    </i>
    <i r="2">
      <x v="244"/>
    </i>
    <i>
      <x v="493"/>
    </i>
    <i r="1">
      <x/>
    </i>
    <i r="2">
      <x v="246"/>
    </i>
    <i>
      <x v="494"/>
    </i>
    <i r="1">
      <x v="1"/>
    </i>
    <i r="2">
      <x v="46"/>
    </i>
    <i>
      <x v="495"/>
    </i>
    <i r="1">
      <x v="1"/>
    </i>
    <i r="2">
      <x v="319"/>
    </i>
    <i>
      <x v="496"/>
    </i>
    <i r="1">
      <x/>
    </i>
    <i r="2">
      <x v="490"/>
    </i>
    <i>
      <x v="497"/>
    </i>
    <i r="1">
      <x v="1"/>
    </i>
    <i r="2">
      <x v="271"/>
    </i>
    <i t="grand">
      <x/>
    </i>
  </rowItems>
  <colItems count="1">
    <i/>
  </colItems>
  <dataFields count="1">
    <dataField name="Sum of Ag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4AC00-C3F2-40EE-91D3-AFF62E8A3637}" name="Table1" displayName="Table1" ref="I1:K501" totalsRowShown="0">
  <autoFilter ref="I1:K501" xr:uid="{2ED4AC00-C3F2-40EE-91D3-AFF62E8A3637}"/>
  <tableColumns count="3">
    <tableColumn id="1" xr3:uid="{1ABFE6D8-8BA8-4883-B614-E16CE251B99B}" name="Loyalty_Level">
      <calculatedColumnFormula>IF(ISBLANK(H2),"Unknown",H2)</calculatedColumnFormula>
    </tableColumn>
    <tableColumn id="2" xr3:uid="{93B37B4D-56C5-4918-A389-6003C2733989}" name="Name">
      <calculatedColumnFormula>PROPER(B2)</calculatedColumnFormula>
    </tableColumn>
    <tableColumn id="3" xr3:uid="{E72DB672-4242-4D1B-9EE9-83A6ABFC2983}" name="Cleaned name">
      <calculatedColumnFormula>TRIM(J2)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9367C7-1457-41AB-99E4-8D822466564D}" name="Table3" displayName="Table3" ref="A1:I501" totalsRowShown="0" headerRowDxfId="1">
  <autoFilter ref="A1:I501" xr:uid="{039367C7-1457-41AB-99E4-8D822466564D}"/>
  <tableColumns count="9">
    <tableColumn id="1" xr3:uid="{AB4D5A25-2327-4DD7-BF26-4E7BC2EE1912}" name="Customer_ID"/>
    <tableColumn id="2" xr3:uid="{73621D95-76ED-4812-AA88-2AAC34BAE1AF}" name="Cleaned name" dataDxfId="0"/>
    <tableColumn id="3" xr3:uid="{1D8BE0E4-201E-4A23-953A-4CEFCFAC5295}" name="Age"/>
    <tableColumn id="4" xr3:uid="{ED6C4CC9-674A-4B5A-BFD2-185529037D86}" name="Gender"/>
    <tableColumn id="5" xr3:uid="{A0459462-C75D-47BD-B6B8-B12E791B02C3}" name="City"/>
    <tableColumn id="6" xr3:uid="{3B9DD409-2F2D-4555-BFBA-1C76A219091E}" name="State"/>
    <tableColumn id="7" xr3:uid="{144AC0A4-6A16-49C3-A8B5-8816AF00D179}" name="Country"/>
    <tableColumn id="8" xr3:uid="{8FF61D37-4960-4837-B3E1-D10B362A82F7}" name="Loyalty_Level"/>
    <tableColumn id="9" xr3:uid="{0754FC8A-202E-4292-9235-F9EBADCE6195}" name="ID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9DCC4E-8040-4128-8018-22E87C58D36B}" name="Table4" displayName="Table4" ref="K1:L14" totalsRowShown="0">
  <autoFilter ref="K1:L14" xr:uid="{189DCC4E-8040-4128-8018-22E87C58D36B}"/>
  <tableColumns count="2">
    <tableColumn id="1" xr3:uid="{D09CD9EE-CD85-41D5-BF5D-D9DD6B9CFF5B}" name="Column1"/>
    <tableColumn id="2" xr3:uid="{8FAC787E-8BAE-4A1D-8D54-B82155E816D3}" name="Column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99"/>
  <sheetViews>
    <sheetView topLeftCell="P1" workbookViewId="0"/>
  </sheetViews>
  <sheetFormatPr defaultRowHeight="15" x14ac:dyDescent="0.25"/>
  <cols>
    <col min="1" max="1" width="17" bestFit="1" customWidth="1"/>
    <col min="2" max="2" width="22" bestFit="1" customWidth="1"/>
    <col min="3" max="3" width="9" bestFit="1" customWidth="1"/>
    <col min="4" max="4" width="12.28515625" bestFit="1" customWidth="1"/>
    <col min="5" max="5" width="22.42578125" bestFit="1" customWidth="1"/>
    <col min="6" max="6" width="15.28515625" bestFit="1" customWidth="1"/>
    <col min="7" max="7" width="23.28515625" bestFit="1" customWidth="1"/>
    <col min="8" max="9" width="17.7109375" bestFit="1" customWidth="1"/>
    <col min="10" max="11" width="21.7109375" bestFit="1" customWidth="1"/>
    <col min="13" max="13" width="23.7109375" bestFit="1" customWidth="1"/>
    <col min="14" max="14" width="16.42578125" bestFit="1" customWidth="1"/>
    <col min="15" max="15" width="16.85546875" bestFit="1" customWidth="1"/>
    <col min="16" max="16" width="11.140625" bestFit="1" customWidth="1"/>
    <col min="17" max="17" width="12.5703125" bestFit="1" customWidth="1"/>
    <col min="19" max="19" width="23.7109375" bestFit="1" customWidth="1"/>
    <col min="20" max="20" width="11" bestFit="1" customWidth="1"/>
    <col min="22" max="22" width="18.140625" bestFit="1" customWidth="1"/>
    <col min="23" max="23" width="12.7109375" bestFit="1" customWidth="1"/>
    <col min="25" max="25" width="18.85546875" bestFit="1" customWidth="1"/>
    <col min="26" max="26" width="18.140625" bestFit="1" customWidth="1"/>
    <col min="27" max="27" width="12.71093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7</v>
      </c>
      <c r="J1" s="7" t="s">
        <v>1</v>
      </c>
      <c r="K1" s="6" t="s">
        <v>1548</v>
      </c>
      <c r="M1" s="4" t="s">
        <v>1549</v>
      </c>
      <c r="N1" s="4" t="s">
        <v>1550</v>
      </c>
      <c r="O1" s="5" t="s">
        <v>1551</v>
      </c>
      <c r="P1" s="3" t="s">
        <v>1552</v>
      </c>
      <c r="Q1" s="2" t="s">
        <v>1553</v>
      </c>
      <c r="S1" s="8" t="s">
        <v>1554</v>
      </c>
      <c r="T1" t="s">
        <v>1556</v>
      </c>
      <c r="V1" s="2" t="s">
        <v>1579</v>
      </c>
      <c r="W1" s="2" t="s">
        <v>1580</v>
      </c>
      <c r="X1" s="2" t="s">
        <v>1581</v>
      </c>
      <c r="Y1" s="16"/>
      <c r="Z1" s="16"/>
      <c r="AA1" s="16"/>
    </row>
    <row r="2" spans="1:27" x14ac:dyDescent="0.25">
      <c r="A2" t="s">
        <v>8</v>
      </c>
      <c r="B2" t="s">
        <v>1545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I2" t="str">
        <f>IF(ISBLANK(H2),"Unknown",H2)</f>
        <v>Unknown</v>
      </c>
      <c r="J2" t="str">
        <f>PROPER(B2)</f>
        <v xml:space="preserve">  Sheena Bonilla  </v>
      </c>
      <c r="K2" t="str">
        <f t="shared" ref="K2:K65" si="0">TRIM(J2)</f>
        <v>Sheena Bonilla</v>
      </c>
      <c r="M2">
        <f>SUM(C2:C501)</f>
        <v>20781</v>
      </c>
      <c r="N2">
        <f>MIN(C2:C501)</f>
        <v>18</v>
      </c>
      <c r="O2">
        <f>MAX(C2:C501)</f>
        <v>64</v>
      </c>
      <c r="P2">
        <f>COUNT(C2:C501)</f>
        <v>500</v>
      </c>
      <c r="Q2">
        <f>AVERAGE(C2:C501)</f>
        <v>41.561999999999998</v>
      </c>
      <c r="S2" s="9" t="s">
        <v>888</v>
      </c>
      <c r="T2">
        <v>21</v>
      </c>
      <c r="V2">
        <f>AVERAGE(C2:C501)</f>
        <v>41.561999999999998</v>
      </c>
      <c r="W2">
        <f>MEDIAN(C2:C501)</f>
        <v>42</v>
      </c>
      <c r="X2">
        <f>MODE(C2:C501)</f>
        <v>46</v>
      </c>
    </row>
    <row r="3" spans="1:27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  <c r="I3" t="str">
        <f t="shared" ref="I3:I66" si="1">IF(ISBLANK(H3),"Unknown",H3)</f>
        <v>Platinum</v>
      </c>
      <c r="J3" t="str">
        <f t="shared" ref="J3:J66" si="2">PROPER(B3)</f>
        <v>Eugene Nelson</v>
      </c>
      <c r="K3" t="str">
        <f t="shared" si="0"/>
        <v>Eugene Nelson</v>
      </c>
      <c r="S3" s="10" t="s">
        <v>16</v>
      </c>
      <c r="T3">
        <v>21</v>
      </c>
    </row>
    <row r="4" spans="1:27" x14ac:dyDescent="0.25">
      <c r="A4" t="s">
        <v>20</v>
      </c>
      <c r="B4" t="s">
        <v>1544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  <c r="I4" t="str">
        <f t="shared" si="1"/>
        <v>Platinum</v>
      </c>
      <c r="J4" t="str">
        <f t="shared" si="2"/>
        <v>Dr. Benjamin Price</v>
      </c>
      <c r="K4" t="str">
        <f t="shared" si="0"/>
        <v>Dr. Benjamin Price</v>
      </c>
      <c r="S4" s="11" t="s">
        <v>887</v>
      </c>
      <c r="T4">
        <v>21</v>
      </c>
      <c r="V4" t="s">
        <v>1579</v>
      </c>
      <c r="W4">
        <v>41.561999999999998</v>
      </c>
    </row>
    <row r="5" spans="1:27" x14ac:dyDescent="0.25">
      <c r="A5" t="s">
        <v>23</v>
      </c>
      <c r="B5" t="s">
        <v>1546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  <c r="I5" t="str">
        <f t="shared" si="1"/>
        <v>Bronze</v>
      </c>
      <c r="J5" t="str">
        <f t="shared" si="2"/>
        <v>Jeremy Harris</v>
      </c>
      <c r="K5" t="str">
        <f t="shared" si="0"/>
        <v>Jeremy Harris</v>
      </c>
      <c r="S5" s="9" t="s">
        <v>1372</v>
      </c>
      <c r="T5">
        <v>51</v>
      </c>
      <c r="V5" t="s">
        <v>1591</v>
      </c>
      <c r="W5">
        <v>0.61138522699815301</v>
      </c>
    </row>
    <row r="6" spans="1:27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  <c r="I6" t="str">
        <f t="shared" si="1"/>
        <v>Silver</v>
      </c>
      <c r="J6" t="str">
        <f t="shared" si="2"/>
        <v>Caroline Collins</v>
      </c>
      <c r="K6" t="str">
        <f t="shared" si="0"/>
        <v>Caroline Collins</v>
      </c>
      <c r="S6" s="10" t="s">
        <v>9</v>
      </c>
      <c r="T6">
        <v>51</v>
      </c>
      <c r="V6" t="s">
        <v>1580</v>
      </c>
      <c r="W6">
        <v>42</v>
      </c>
    </row>
    <row r="7" spans="1:27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  <c r="I7" t="str">
        <f t="shared" si="1"/>
        <v>Bronze</v>
      </c>
      <c r="J7" t="str">
        <f t="shared" si="2"/>
        <v>Christine Vaughn</v>
      </c>
      <c r="K7" t="str">
        <f t="shared" si="0"/>
        <v>Christine Vaughn</v>
      </c>
      <c r="S7" s="11" t="s">
        <v>1371</v>
      </c>
      <c r="T7">
        <v>51</v>
      </c>
      <c r="V7" t="s">
        <v>1581</v>
      </c>
      <c r="W7">
        <v>46</v>
      </c>
    </row>
    <row r="8" spans="1:27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  <c r="I8" t="str">
        <f t="shared" si="1"/>
        <v>Platinum</v>
      </c>
      <c r="J8" t="str">
        <f t="shared" si="2"/>
        <v>Amber Jackson</v>
      </c>
      <c r="K8" t="str">
        <f t="shared" si="0"/>
        <v>Amber Jackson</v>
      </c>
      <c r="S8" s="9" t="s">
        <v>79</v>
      </c>
      <c r="T8">
        <v>60</v>
      </c>
      <c r="V8" t="s">
        <v>1590</v>
      </c>
      <c r="W8">
        <v>13.670989280070099</v>
      </c>
    </row>
    <row r="9" spans="1:27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  <c r="I9" t="str">
        <f t="shared" si="1"/>
        <v>Bronze</v>
      </c>
      <c r="J9" t="str">
        <f t="shared" si="2"/>
        <v>Daniel Boyd</v>
      </c>
      <c r="K9" t="str">
        <f t="shared" si="0"/>
        <v>Daniel Boyd</v>
      </c>
      <c r="S9" s="10" t="s">
        <v>16</v>
      </c>
      <c r="T9">
        <v>60</v>
      </c>
      <c r="V9" t="s">
        <v>1589</v>
      </c>
      <c r="W9">
        <v>186.89594789579155</v>
      </c>
    </row>
    <row r="10" spans="1:27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  <c r="I10" t="str">
        <f t="shared" si="1"/>
        <v>Gold</v>
      </c>
      <c r="J10" t="str">
        <f t="shared" si="2"/>
        <v>Melissa Howard</v>
      </c>
      <c r="K10" t="str">
        <f t="shared" si="0"/>
        <v>Melissa Howard</v>
      </c>
      <c r="S10" s="11" t="s">
        <v>78</v>
      </c>
      <c r="T10">
        <v>60</v>
      </c>
      <c r="V10" t="s">
        <v>1588</v>
      </c>
      <c r="W10">
        <v>-1.2193919892240328</v>
      </c>
    </row>
    <row r="11" spans="1:27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  <c r="I11" t="str">
        <f t="shared" si="1"/>
        <v>Platinum</v>
      </c>
      <c r="J11" t="str">
        <f t="shared" si="2"/>
        <v>Ms. Maria Leach</v>
      </c>
      <c r="K11" t="str">
        <f t="shared" si="0"/>
        <v>Ms. Maria Leach</v>
      </c>
      <c r="S11" s="9" t="s">
        <v>867</v>
      </c>
      <c r="T11">
        <v>48</v>
      </c>
      <c r="V11" t="s">
        <v>1587</v>
      </c>
      <c r="W11">
        <v>-3.6548529921374591E-2</v>
      </c>
    </row>
    <row r="12" spans="1:27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  <c r="I12" t="str">
        <f t="shared" si="1"/>
        <v>Bronze</v>
      </c>
      <c r="J12" t="str">
        <f t="shared" si="2"/>
        <v>Dominic Page</v>
      </c>
      <c r="K12" t="str">
        <f t="shared" si="0"/>
        <v>Dominic Page</v>
      </c>
      <c r="S12" s="10" t="s">
        <v>16</v>
      </c>
      <c r="T12">
        <v>48</v>
      </c>
      <c r="V12" t="s">
        <v>1586</v>
      </c>
      <c r="W12">
        <v>46</v>
      </c>
    </row>
    <row r="13" spans="1:27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  <c r="I13" t="str">
        <f t="shared" si="1"/>
        <v>Gold</v>
      </c>
      <c r="J13" t="str">
        <f t="shared" si="2"/>
        <v>Brian Lopez</v>
      </c>
      <c r="K13" t="str">
        <f t="shared" si="0"/>
        <v>Brian Lopez</v>
      </c>
      <c r="S13" s="11" t="s">
        <v>866</v>
      </c>
      <c r="T13">
        <v>48</v>
      </c>
      <c r="V13" t="s">
        <v>1585</v>
      </c>
      <c r="W13">
        <v>18</v>
      </c>
    </row>
    <row r="14" spans="1:27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  <c r="I14" t="str">
        <f t="shared" si="1"/>
        <v>Platinum</v>
      </c>
      <c r="J14" t="str">
        <f t="shared" si="2"/>
        <v>Kenneth Lambert</v>
      </c>
      <c r="K14" t="str">
        <f t="shared" si="0"/>
        <v>Kenneth Lambert</v>
      </c>
      <c r="S14" s="9" t="s">
        <v>720</v>
      </c>
      <c r="T14">
        <v>35</v>
      </c>
      <c r="V14" t="s">
        <v>1584</v>
      </c>
      <c r="W14">
        <v>64</v>
      </c>
    </row>
    <row r="15" spans="1:27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  <c r="I15" t="str">
        <f t="shared" si="1"/>
        <v>Silver</v>
      </c>
      <c r="J15" t="str">
        <f t="shared" si="2"/>
        <v>Nathan Hernandez</v>
      </c>
      <c r="K15" t="str">
        <f t="shared" si="0"/>
        <v>Nathan Hernandez</v>
      </c>
      <c r="S15" s="10" t="s">
        <v>9</v>
      </c>
      <c r="T15">
        <v>35</v>
      </c>
      <c r="V15" t="s">
        <v>1583</v>
      </c>
      <c r="W15">
        <v>20781</v>
      </c>
    </row>
    <row r="16" spans="1:27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  <c r="I16" t="str">
        <f t="shared" si="1"/>
        <v>Silver</v>
      </c>
      <c r="J16" t="str">
        <f t="shared" si="2"/>
        <v>Ashley Cohen</v>
      </c>
      <c r="K16" t="str">
        <f t="shared" si="0"/>
        <v>Ashley Cohen</v>
      </c>
      <c r="S16" s="11" t="s">
        <v>719</v>
      </c>
      <c r="T16">
        <v>35</v>
      </c>
      <c r="V16" t="s">
        <v>1582</v>
      </c>
      <c r="W16">
        <v>500</v>
      </c>
    </row>
    <row r="17" spans="1:20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  <c r="I17" t="str">
        <f t="shared" si="1"/>
        <v>Platinum</v>
      </c>
      <c r="J17" t="str">
        <f t="shared" si="2"/>
        <v>Laura Alvarez</v>
      </c>
      <c r="K17" t="str">
        <f t="shared" si="0"/>
        <v>Laura Alvarez</v>
      </c>
      <c r="S17" s="9" t="s">
        <v>1230</v>
      </c>
      <c r="T17">
        <v>43</v>
      </c>
    </row>
    <row r="18" spans="1:20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  <c r="I18" t="str">
        <f t="shared" si="1"/>
        <v>Bronze</v>
      </c>
      <c r="J18" t="str">
        <f t="shared" si="2"/>
        <v>John Scott</v>
      </c>
      <c r="K18" t="str">
        <f t="shared" si="0"/>
        <v>John Scott</v>
      </c>
      <c r="S18" s="10" t="s">
        <v>16</v>
      </c>
      <c r="T18">
        <v>43</v>
      </c>
    </row>
    <row r="19" spans="1:20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  <c r="I19" t="str">
        <f t="shared" si="1"/>
        <v>Platinum</v>
      </c>
      <c r="J19" t="str">
        <f t="shared" si="2"/>
        <v>Adam Cruz</v>
      </c>
      <c r="K19" t="str">
        <f t="shared" si="0"/>
        <v>Adam Cruz</v>
      </c>
      <c r="S19" s="11" t="s">
        <v>1229</v>
      </c>
      <c r="T19">
        <v>43</v>
      </c>
    </row>
    <row r="20" spans="1:20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I20" t="str">
        <f t="shared" si="1"/>
        <v>Unknown</v>
      </c>
      <c r="J20" t="str">
        <f t="shared" si="2"/>
        <v>Rhonda Moss</v>
      </c>
      <c r="K20" t="str">
        <f t="shared" si="0"/>
        <v>Rhonda Moss</v>
      </c>
      <c r="S20" s="9" t="s">
        <v>1573</v>
      </c>
      <c r="T20">
        <v>58</v>
      </c>
    </row>
    <row r="21" spans="1:20" x14ac:dyDescent="0.25">
      <c r="A21" t="s">
        <v>85</v>
      </c>
      <c r="B21" t="s">
        <v>83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  <c r="I21" t="str">
        <f t="shared" si="1"/>
        <v>Platinum</v>
      </c>
      <c r="J21" t="str">
        <f t="shared" si="2"/>
        <v>Rhonda Moss</v>
      </c>
      <c r="K21" t="str">
        <f t="shared" si="0"/>
        <v>Rhonda Moss</v>
      </c>
      <c r="S21" s="10" t="s">
        <v>9</v>
      </c>
      <c r="T21">
        <v>58</v>
      </c>
    </row>
    <row r="22" spans="1:20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  <c r="I22" t="str">
        <f t="shared" si="1"/>
        <v>Silver</v>
      </c>
      <c r="J22" t="str">
        <f t="shared" si="2"/>
        <v>Bridget Allen</v>
      </c>
      <c r="K22" t="str">
        <f t="shared" si="0"/>
        <v>Bridget Allen</v>
      </c>
      <c r="S22" s="11" t="s">
        <v>1020</v>
      </c>
      <c r="T22">
        <v>58</v>
      </c>
    </row>
    <row r="23" spans="1:20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  <c r="I23" t="str">
        <f t="shared" si="1"/>
        <v>Gold</v>
      </c>
      <c r="J23" t="str">
        <f t="shared" si="2"/>
        <v>Jeff Martinez</v>
      </c>
      <c r="K23" t="str">
        <f t="shared" si="0"/>
        <v>Jeff Martinez</v>
      </c>
      <c r="S23" s="9" t="s">
        <v>1236</v>
      </c>
      <c r="T23">
        <v>25</v>
      </c>
    </row>
    <row r="24" spans="1:20" x14ac:dyDescent="0.25">
      <c r="A24" t="s">
        <v>97</v>
      </c>
      <c r="B24" t="s">
        <v>1547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  <c r="I24" t="str">
        <f t="shared" si="1"/>
        <v>Silver</v>
      </c>
      <c r="J24" t="str">
        <f t="shared" si="2"/>
        <v xml:space="preserve">   Paul Fox</v>
      </c>
      <c r="K24" t="str">
        <f t="shared" si="0"/>
        <v>Paul Fox</v>
      </c>
      <c r="S24" s="10" t="s">
        <v>16</v>
      </c>
      <c r="T24">
        <v>25</v>
      </c>
    </row>
    <row r="25" spans="1:20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  <c r="I25" t="str">
        <f t="shared" si="1"/>
        <v>Silver</v>
      </c>
      <c r="J25" t="str">
        <f t="shared" si="2"/>
        <v>Jonathan Steele</v>
      </c>
      <c r="K25" t="str">
        <f t="shared" si="0"/>
        <v>Jonathan Steele</v>
      </c>
      <c r="S25" s="11" t="s">
        <v>1235</v>
      </c>
      <c r="T25">
        <v>25</v>
      </c>
    </row>
    <row r="26" spans="1:20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  <c r="I26" t="str">
        <f t="shared" si="1"/>
        <v>Platinum</v>
      </c>
      <c r="J26" t="str">
        <f t="shared" si="2"/>
        <v>Heather Collins</v>
      </c>
      <c r="K26" t="str">
        <f t="shared" si="0"/>
        <v>Heather Collins</v>
      </c>
      <c r="S26" s="9" t="s">
        <v>731</v>
      </c>
      <c r="T26">
        <v>54</v>
      </c>
    </row>
    <row r="27" spans="1:20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  <c r="I27" t="str">
        <f t="shared" si="1"/>
        <v>Bronze</v>
      </c>
      <c r="J27" t="str">
        <f t="shared" si="2"/>
        <v>Diana Taylor</v>
      </c>
      <c r="K27" t="str">
        <f t="shared" si="0"/>
        <v>Diana Taylor</v>
      </c>
      <c r="S27" s="10" t="s">
        <v>9</v>
      </c>
      <c r="T27">
        <v>54</v>
      </c>
    </row>
    <row r="28" spans="1:20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  <c r="I28" t="str">
        <f t="shared" si="1"/>
        <v>Gold</v>
      </c>
      <c r="J28" t="str">
        <f t="shared" si="2"/>
        <v>Amber Carlson</v>
      </c>
      <c r="K28" t="str">
        <f t="shared" si="0"/>
        <v>Amber Carlson</v>
      </c>
      <c r="S28" s="11" t="s">
        <v>730</v>
      </c>
      <c r="T28">
        <v>54</v>
      </c>
    </row>
    <row r="29" spans="1:20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I29" t="str">
        <f t="shared" si="1"/>
        <v>Unknown</v>
      </c>
      <c r="J29" t="str">
        <f t="shared" si="2"/>
        <v>Leslie Johnson</v>
      </c>
      <c r="K29" t="str">
        <f t="shared" si="0"/>
        <v>Leslie Johnson</v>
      </c>
      <c r="S29" s="9" t="s">
        <v>222</v>
      </c>
      <c r="T29">
        <v>53</v>
      </c>
    </row>
    <row r="30" spans="1:20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  <c r="I30" t="str">
        <f t="shared" si="1"/>
        <v>Platinum</v>
      </c>
      <c r="J30" t="str">
        <f t="shared" si="2"/>
        <v>Joshua Ryan</v>
      </c>
      <c r="K30" t="str">
        <f t="shared" si="0"/>
        <v>Joshua Ryan</v>
      </c>
      <c r="S30" s="10" t="s">
        <v>9</v>
      </c>
      <c r="T30">
        <v>53</v>
      </c>
    </row>
    <row r="31" spans="1:20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  <c r="I31" t="str">
        <f t="shared" si="1"/>
        <v>Silver</v>
      </c>
      <c r="J31" t="str">
        <f t="shared" si="2"/>
        <v>David Arnold</v>
      </c>
      <c r="K31" t="str">
        <f t="shared" si="0"/>
        <v>David Arnold</v>
      </c>
      <c r="S31" s="11" t="s">
        <v>221</v>
      </c>
      <c r="T31">
        <v>53</v>
      </c>
    </row>
    <row r="32" spans="1:20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  <c r="I32" t="str">
        <f t="shared" si="1"/>
        <v>Bronze</v>
      </c>
      <c r="J32" t="str">
        <f t="shared" si="2"/>
        <v>Jessica Acevedo</v>
      </c>
      <c r="K32" t="str">
        <f t="shared" si="0"/>
        <v>Jessica Acevedo</v>
      </c>
      <c r="S32" s="9" t="s">
        <v>1499</v>
      </c>
      <c r="T32">
        <v>36</v>
      </c>
    </row>
    <row r="33" spans="1:20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  <c r="I33" t="str">
        <f t="shared" si="1"/>
        <v>Silver</v>
      </c>
      <c r="J33" t="str">
        <f t="shared" si="2"/>
        <v>Sarah Vance</v>
      </c>
      <c r="K33" t="str">
        <f t="shared" si="0"/>
        <v>Sarah Vance</v>
      </c>
      <c r="S33" s="10" t="s">
        <v>16</v>
      </c>
      <c r="T33">
        <v>36</v>
      </c>
    </row>
    <row r="34" spans="1:20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  <c r="I34" t="str">
        <f t="shared" si="1"/>
        <v>Gold</v>
      </c>
      <c r="J34" t="str">
        <f t="shared" si="2"/>
        <v>Mike Jennings</v>
      </c>
      <c r="K34" t="str">
        <f t="shared" si="0"/>
        <v>Mike Jennings</v>
      </c>
      <c r="S34" s="11" t="s">
        <v>1498</v>
      </c>
      <c r="T34">
        <v>36</v>
      </c>
    </row>
    <row r="35" spans="1:20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  <c r="I35" t="str">
        <f t="shared" si="1"/>
        <v>Platinum</v>
      </c>
      <c r="J35" t="str">
        <f t="shared" si="2"/>
        <v>Robert Jones Dds</v>
      </c>
      <c r="K35" t="str">
        <f t="shared" si="0"/>
        <v>Robert Jones Dds</v>
      </c>
      <c r="S35" s="9" t="s">
        <v>1517</v>
      </c>
      <c r="T35">
        <v>28</v>
      </c>
    </row>
    <row r="36" spans="1:20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  <c r="I36" t="str">
        <f t="shared" si="1"/>
        <v>Platinum</v>
      </c>
      <c r="J36" t="str">
        <f t="shared" si="2"/>
        <v>Christopher Olson</v>
      </c>
      <c r="K36" t="str">
        <f t="shared" si="0"/>
        <v>Christopher Olson</v>
      </c>
      <c r="S36" s="10" t="s">
        <v>9</v>
      </c>
      <c r="T36">
        <v>28</v>
      </c>
    </row>
    <row r="37" spans="1:20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  <c r="I37" t="str">
        <f t="shared" si="1"/>
        <v>Silver</v>
      </c>
      <c r="J37" t="str">
        <f t="shared" si="2"/>
        <v>Rachel Myers</v>
      </c>
      <c r="K37" t="str">
        <f t="shared" si="0"/>
        <v>Rachel Myers</v>
      </c>
      <c r="S37" s="11" t="s">
        <v>1516</v>
      </c>
      <c r="T37">
        <v>28</v>
      </c>
    </row>
    <row r="38" spans="1:20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  <c r="I38" t="str">
        <f t="shared" si="1"/>
        <v>Gold</v>
      </c>
      <c r="J38" t="str">
        <f t="shared" si="2"/>
        <v>Thomas Phillips</v>
      </c>
      <c r="K38" t="str">
        <f t="shared" si="0"/>
        <v>Thomas Phillips</v>
      </c>
      <c r="S38" s="9" t="s">
        <v>111</v>
      </c>
      <c r="T38">
        <v>18</v>
      </c>
    </row>
    <row r="39" spans="1:20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I39" t="str">
        <f t="shared" si="1"/>
        <v>Unknown</v>
      </c>
      <c r="J39" t="str">
        <f t="shared" si="2"/>
        <v>Christopher Carter</v>
      </c>
      <c r="K39" t="str">
        <f t="shared" si="0"/>
        <v>Christopher Carter</v>
      </c>
      <c r="S39" s="10" t="s">
        <v>16</v>
      </c>
      <c r="T39">
        <v>18</v>
      </c>
    </row>
    <row r="40" spans="1:20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  <c r="I40" t="str">
        <f t="shared" si="1"/>
        <v>Bronze</v>
      </c>
      <c r="J40" t="str">
        <f t="shared" si="2"/>
        <v>Deanna Simpson</v>
      </c>
      <c r="K40" t="str">
        <f t="shared" si="0"/>
        <v>Deanna Simpson</v>
      </c>
      <c r="S40" s="11" t="s">
        <v>110</v>
      </c>
      <c r="T40">
        <v>18</v>
      </c>
    </row>
    <row r="41" spans="1:20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  <c r="I41" t="str">
        <f t="shared" si="1"/>
        <v>Gold</v>
      </c>
      <c r="J41" t="str">
        <f t="shared" si="2"/>
        <v>Tonya Reynolds</v>
      </c>
      <c r="K41" t="str">
        <f t="shared" si="0"/>
        <v>Tonya Reynolds</v>
      </c>
      <c r="S41" s="9" t="s">
        <v>37</v>
      </c>
      <c r="T41">
        <v>29</v>
      </c>
    </row>
    <row r="42" spans="1:20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  <c r="I42" t="str">
        <f t="shared" si="1"/>
        <v>Gold</v>
      </c>
      <c r="J42" t="str">
        <f t="shared" si="2"/>
        <v>Eric Vega</v>
      </c>
      <c r="K42" t="str">
        <f t="shared" si="0"/>
        <v>Eric Vega</v>
      </c>
      <c r="S42" s="10" t="s">
        <v>16</v>
      </c>
      <c r="T42">
        <v>29</v>
      </c>
    </row>
    <row r="43" spans="1:20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  <c r="I43" t="str">
        <f t="shared" si="1"/>
        <v>Platinum</v>
      </c>
      <c r="J43" t="str">
        <f t="shared" si="2"/>
        <v>James Gibbs</v>
      </c>
      <c r="K43" t="str">
        <f t="shared" si="0"/>
        <v>James Gibbs</v>
      </c>
      <c r="S43" s="11" t="s">
        <v>36</v>
      </c>
      <c r="T43">
        <v>29</v>
      </c>
    </row>
    <row r="44" spans="1:20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  <c r="I44" t="str">
        <f t="shared" si="1"/>
        <v>Platinum</v>
      </c>
      <c r="J44" t="str">
        <f t="shared" si="2"/>
        <v>William Martin</v>
      </c>
      <c r="K44" t="str">
        <f t="shared" si="0"/>
        <v>William Martin</v>
      </c>
      <c r="S44" s="9" t="s">
        <v>248</v>
      </c>
      <c r="T44">
        <v>58</v>
      </c>
    </row>
    <row r="45" spans="1:20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  <c r="I45" t="str">
        <f t="shared" si="1"/>
        <v>Gold</v>
      </c>
      <c r="J45" t="str">
        <f t="shared" si="2"/>
        <v>Joseph Snow</v>
      </c>
      <c r="K45" t="str">
        <f t="shared" si="0"/>
        <v>Joseph Snow</v>
      </c>
      <c r="S45" s="10" t="s">
        <v>9</v>
      </c>
      <c r="T45">
        <v>58</v>
      </c>
    </row>
    <row r="46" spans="1:20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  <c r="I46" t="str">
        <f t="shared" si="1"/>
        <v>Bronze</v>
      </c>
      <c r="J46" t="str">
        <f t="shared" si="2"/>
        <v>Denise Williams</v>
      </c>
      <c r="K46" t="str">
        <f t="shared" si="0"/>
        <v>Denise Williams</v>
      </c>
      <c r="S46" s="11" t="s">
        <v>247</v>
      </c>
      <c r="T46">
        <v>58</v>
      </c>
    </row>
    <row r="47" spans="1:20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  <c r="I47" t="str">
        <f t="shared" si="1"/>
        <v>Gold</v>
      </c>
      <c r="J47" t="str">
        <f t="shared" si="2"/>
        <v>Jordan Jackson Dds</v>
      </c>
      <c r="K47" t="str">
        <f t="shared" si="0"/>
        <v>Jordan Jackson Dds</v>
      </c>
      <c r="S47" s="9" t="s">
        <v>342</v>
      </c>
      <c r="T47">
        <v>62</v>
      </c>
    </row>
    <row r="48" spans="1:20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  <c r="I48" t="str">
        <f t="shared" si="1"/>
        <v>Platinum</v>
      </c>
      <c r="J48" t="str">
        <f t="shared" si="2"/>
        <v>Michelle Garcia Dds</v>
      </c>
      <c r="K48" t="str">
        <f t="shared" si="0"/>
        <v>Michelle Garcia Dds</v>
      </c>
      <c r="S48" s="10" t="s">
        <v>16</v>
      </c>
      <c r="T48">
        <v>62</v>
      </c>
    </row>
    <row r="49" spans="1:20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  <c r="I49" t="str">
        <f t="shared" si="1"/>
        <v>Silver</v>
      </c>
      <c r="J49" t="str">
        <f t="shared" si="2"/>
        <v>Gina Knight</v>
      </c>
      <c r="K49" t="str">
        <f t="shared" si="0"/>
        <v>Gina Knight</v>
      </c>
      <c r="S49" s="11" t="s">
        <v>341</v>
      </c>
      <c r="T49">
        <v>62</v>
      </c>
    </row>
    <row r="50" spans="1:20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  <c r="I50" t="str">
        <f t="shared" si="1"/>
        <v>Platinum</v>
      </c>
      <c r="J50" t="str">
        <f t="shared" si="2"/>
        <v>April Mullins</v>
      </c>
      <c r="K50" t="str">
        <f t="shared" si="0"/>
        <v>April Mullins</v>
      </c>
      <c r="S50" s="9" t="s">
        <v>385</v>
      </c>
      <c r="T50">
        <v>27</v>
      </c>
    </row>
    <row r="51" spans="1:20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  <c r="I51" t="str">
        <f t="shared" si="1"/>
        <v>Gold</v>
      </c>
      <c r="J51" t="str">
        <f t="shared" si="2"/>
        <v>Timothy Weaver</v>
      </c>
      <c r="K51" t="str">
        <f t="shared" si="0"/>
        <v>Timothy Weaver</v>
      </c>
      <c r="S51" s="10" t="s">
        <v>9</v>
      </c>
      <c r="T51">
        <v>27</v>
      </c>
    </row>
    <row r="52" spans="1:20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  <c r="I52" t="str">
        <f t="shared" si="1"/>
        <v>Gold</v>
      </c>
      <c r="J52" t="str">
        <f t="shared" si="2"/>
        <v>Matthew Hunter Jr.</v>
      </c>
      <c r="K52" t="str">
        <f t="shared" si="0"/>
        <v>Matthew Hunter Jr.</v>
      </c>
      <c r="S52" s="11" t="s">
        <v>384</v>
      </c>
      <c r="T52">
        <v>27</v>
      </c>
    </row>
    <row r="53" spans="1:20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  <c r="I53" t="str">
        <f t="shared" si="1"/>
        <v>Gold</v>
      </c>
      <c r="J53" t="str">
        <f t="shared" si="2"/>
        <v>Sarah Rodgers</v>
      </c>
      <c r="K53" t="str">
        <f t="shared" si="0"/>
        <v>Sarah Rodgers</v>
      </c>
      <c r="S53" s="9" t="s">
        <v>569</v>
      </c>
      <c r="T53">
        <v>44</v>
      </c>
    </row>
    <row r="54" spans="1:20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  <c r="I54" t="str">
        <f t="shared" si="1"/>
        <v>Bronze</v>
      </c>
      <c r="J54" t="str">
        <f t="shared" si="2"/>
        <v>Debra Liu</v>
      </c>
      <c r="K54" t="str">
        <f t="shared" si="0"/>
        <v>Debra Liu</v>
      </c>
      <c r="S54" s="10" t="s">
        <v>16</v>
      </c>
      <c r="T54">
        <v>44</v>
      </c>
    </row>
    <row r="55" spans="1:20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  <c r="I55" t="str">
        <f t="shared" si="1"/>
        <v>Gold</v>
      </c>
      <c r="J55" t="str">
        <f t="shared" si="2"/>
        <v>Sharon Brown</v>
      </c>
      <c r="K55" t="str">
        <f t="shared" si="0"/>
        <v>Sharon Brown</v>
      </c>
      <c r="S55" s="11" t="s">
        <v>568</v>
      </c>
      <c r="T55">
        <v>44</v>
      </c>
    </row>
    <row r="56" spans="1:20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  <c r="I56" t="str">
        <f t="shared" si="1"/>
        <v>Platinum</v>
      </c>
      <c r="J56" t="str">
        <f t="shared" si="2"/>
        <v>Katherine Dorsey</v>
      </c>
      <c r="K56" t="str">
        <f t="shared" si="0"/>
        <v>Katherine Dorsey</v>
      </c>
      <c r="S56" s="9" t="s">
        <v>1470</v>
      </c>
      <c r="T56">
        <v>41</v>
      </c>
    </row>
    <row r="57" spans="1:20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  <c r="I57" t="str">
        <f t="shared" si="1"/>
        <v>Bronze</v>
      </c>
      <c r="J57" t="str">
        <f t="shared" si="2"/>
        <v>Wayne Mcpherson</v>
      </c>
      <c r="K57" t="str">
        <f t="shared" si="0"/>
        <v>Wayne Mcpherson</v>
      </c>
      <c r="S57" s="10" t="s">
        <v>16</v>
      </c>
      <c r="T57">
        <v>41</v>
      </c>
    </row>
    <row r="58" spans="1:20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  <c r="I58" t="str">
        <f t="shared" si="1"/>
        <v>Gold</v>
      </c>
      <c r="J58" t="str">
        <f t="shared" si="2"/>
        <v>Christopher Sutton</v>
      </c>
      <c r="K58" t="str">
        <f t="shared" si="0"/>
        <v>Christopher Sutton</v>
      </c>
      <c r="S58" s="11" t="s">
        <v>1469</v>
      </c>
      <c r="T58">
        <v>41</v>
      </c>
    </row>
    <row r="59" spans="1:20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  <c r="I59" t="str">
        <f t="shared" si="1"/>
        <v>Platinum</v>
      </c>
      <c r="J59" t="str">
        <f t="shared" si="2"/>
        <v>Jay Patel</v>
      </c>
      <c r="K59" t="str">
        <f t="shared" si="0"/>
        <v>Jay Patel</v>
      </c>
      <c r="S59" s="9" t="s">
        <v>647</v>
      </c>
      <c r="T59">
        <v>45</v>
      </c>
    </row>
    <row r="60" spans="1:20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  <c r="I60" t="str">
        <f t="shared" si="1"/>
        <v>Platinum</v>
      </c>
      <c r="J60" t="str">
        <f t="shared" si="2"/>
        <v>Cheryl Copeland</v>
      </c>
      <c r="K60" t="str">
        <f t="shared" si="0"/>
        <v>Cheryl Copeland</v>
      </c>
      <c r="S60" s="10" t="s">
        <v>16</v>
      </c>
      <c r="T60">
        <v>45</v>
      </c>
    </row>
    <row r="61" spans="1:20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  <c r="I61" t="str">
        <f t="shared" si="1"/>
        <v>Platinum</v>
      </c>
      <c r="J61" t="str">
        <f t="shared" si="2"/>
        <v>Alyssa Vargas</v>
      </c>
      <c r="K61" t="str">
        <f t="shared" si="0"/>
        <v>Alyssa Vargas</v>
      </c>
      <c r="S61" s="11" t="s">
        <v>646</v>
      </c>
      <c r="T61">
        <v>45</v>
      </c>
    </row>
    <row r="62" spans="1:20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  <c r="I62" t="str">
        <f t="shared" si="1"/>
        <v>Silver</v>
      </c>
      <c r="J62" t="str">
        <f t="shared" si="2"/>
        <v>Dr. David Smith</v>
      </c>
      <c r="K62" t="str">
        <f t="shared" si="0"/>
        <v>Dr. David Smith</v>
      </c>
      <c r="S62" s="9" t="s">
        <v>262</v>
      </c>
      <c r="T62">
        <v>61</v>
      </c>
    </row>
    <row r="63" spans="1:20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  <c r="I63" t="str">
        <f t="shared" si="1"/>
        <v>Silver</v>
      </c>
      <c r="J63" t="str">
        <f t="shared" si="2"/>
        <v>Kristin Stein</v>
      </c>
      <c r="K63" t="str">
        <f t="shared" si="0"/>
        <v>Kristin Stein</v>
      </c>
      <c r="S63" s="10" t="s">
        <v>16</v>
      </c>
      <c r="T63">
        <v>61</v>
      </c>
    </row>
    <row r="64" spans="1:20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  <c r="I64" t="str">
        <f t="shared" si="1"/>
        <v>Bronze</v>
      </c>
      <c r="J64" t="str">
        <f t="shared" si="2"/>
        <v>James Bean</v>
      </c>
      <c r="K64" t="str">
        <f t="shared" si="0"/>
        <v>James Bean</v>
      </c>
      <c r="S64" s="11" t="s">
        <v>261</v>
      </c>
      <c r="T64">
        <v>61</v>
      </c>
    </row>
    <row r="65" spans="1:20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  <c r="I65" t="str">
        <f t="shared" si="1"/>
        <v>Platinum</v>
      </c>
      <c r="J65" t="str">
        <f t="shared" si="2"/>
        <v>Michael Daniel</v>
      </c>
      <c r="K65" t="str">
        <f t="shared" si="0"/>
        <v>Michael Daniel</v>
      </c>
      <c r="S65" s="9" t="s">
        <v>1200</v>
      </c>
      <c r="T65">
        <v>52</v>
      </c>
    </row>
    <row r="66" spans="1:20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  <c r="I66" t="str">
        <f t="shared" si="1"/>
        <v>Gold</v>
      </c>
      <c r="J66" t="str">
        <f t="shared" si="2"/>
        <v>Mr. Mason Butler</v>
      </c>
      <c r="K66" t="str">
        <f t="shared" ref="K66:K129" si="3">TRIM(J66)</f>
        <v>Mr. Mason Butler</v>
      </c>
      <c r="S66" s="10" t="s">
        <v>16</v>
      </c>
      <c r="T66">
        <v>52</v>
      </c>
    </row>
    <row r="67" spans="1:20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  <c r="I67" t="str">
        <f t="shared" ref="I67:I130" si="4">IF(ISBLANK(H67),"Unknown",H67)</f>
        <v>Silver</v>
      </c>
      <c r="J67" t="str">
        <f t="shared" ref="J67:J130" si="5">PROPER(B67)</f>
        <v>Michael Thomas</v>
      </c>
      <c r="K67" t="str">
        <f t="shared" si="3"/>
        <v>Michael Thomas</v>
      </c>
      <c r="S67" s="11" t="s">
        <v>1199</v>
      </c>
      <c r="T67">
        <v>52</v>
      </c>
    </row>
    <row r="68" spans="1:20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  <c r="I68" t="str">
        <f t="shared" si="4"/>
        <v>Silver</v>
      </c>
      <c r="J68" t="str">
        <f t="shared" si="5"/>
        <v>Cody Diaz</v>
      </c>
      <c r="K68" t="str">
        <f t="shared" si="3"/>
        <v>Cody Diaz</v>
      </c>
      <c r="S68" s="9" t="s">
        <v>1024</v>
      </c>
      <c r="T68">
        <v>60</v>
      </c>
    </row>
    <row r="69" spans="1:20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  <c r="I69" t="str">
        <f t="shared" si="4"/>
        <v>Silver</v>
      </c>
      <c r="J69" t="str">
        <f t="shared" si="5"/>
        <v>Amber Mcclain</v>
      </c>
      <c r="K69" t="str">
        <f t="shared" si="3"/>
        <v>Amber Mcclain</v>
      </c>
      <c r="S69" s="10" t="s">
        <v>9</v>
      </c>
      <c r="T69">
        <v>60</v>
      </c>
    </row>
    <row r="70" spans="1:20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  <c r="I70" t="str">
        <f t="shared" si="4"/>
        <v>Silver</v>
      </c>
      <c r="J70" t="str">
        <f t="shared" si="5"/>
        <v>Mr. Mark Beasley</v>
      </c>
      <c r="K70" t="str">
        <f t="shared" si="3"/>
        <v>Mr. Mark Beasley</v>
      </c>
      <c r="S70" s="11" t="s">
        <v>1023</v>
      </c>
      <c r="T70">
        <v>60</v>
      </c>
    </row>
    <row r="71" spans="1:20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  <c r="I71" t="str">
        <f t="shared" si="4"/>
        <v>Platinum</v>
      </c>
      <c r="J71" t="str">
        <f t="shared" si="5"/>
        <v>Roy Cole</v>
      </c>
      <c r="K71" t="str">
        <f t="shared" si="3"/>
        <v>Roy Cole</v>
      </c>
      <c r="S71" s="9" t="s">
        <v>967</v>
      </c>
      <c r="T71">
        <v>44</v>
      </c>
    </row>
    <row r="72" spans="1:20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  <c r="I72" t="str">
        <f t="shared" si="4"/>
        <v>Gold</v>
      </c>
      <c r="J72" t="str">
        <f t="shared" si="5"/>
        <v>Eric Singh</v>
      </c>
      <c r="K72" t="str">
        <f t="shared" si="3"/>
        <v>Eric Singh</v>
      </c>
      <c r="S72" s="10" t="s">
        <v>9</v>
      </c>
      <c r="T72">
        <v>44</v>
      </c>
    </row>
    <row r="73" spans="1:20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  <c r="I73" t="str">
        <f t="shared" si="4"/>
        <v>Gold</v>
      </c>
      <c r="J73" t="str">
        <f t="shared" si="5"/>
        <v>Andrea Perez</v>
      </c>
      <c r="K73" t="str">
        <f t="shared" si="3"/>
        <v>Andrea Perez</v>
      </c>
      <c r="S73" s="11" t="s">
        <v>966</v>
      </c>
      <c r="T73">
        <v>44</v>
      </c>
    </row>
    <row r="74" spans="1:20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  <c r="I74" t="str">
        <f t="shared" si="4"/>
        <v>Gold</v>
      </c>
      <c r="J74" t="str">
        <f t="shared" si="5"/>
        <v>Tonya Burch</v>
      </c>
      <c r="K74" t="str">
        <f t="shared" si="3"/>
        <v>Tonya Burch</v>
      </c>
      <c r="S74" s="9" t="s">
        <v>1072</v>
      </c>
      <c r="T74">
        <v>56</v>
      </c>
    </row>
    <row r="75" spans="1:20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  <c r="I75" t="str">
        <f t="shared" si="4"/>
        <v>Silver</v>
      </c>
      <c r="J75" t="str">
        <f t="shared" si="5"/>
        <v>Christopher Brown</v>
      </c>
      <c r="K75" t="str">
        <f t="shared" si="3"/>
        <v>Christopher Brown</v>
      </c>
      <c r="S75" s="10" t="s">
        <v>16</v>
      </c>
      <c r="T75">
        <v>56</v>
      </c>
    </row>
    <row r="76" spans="1:20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  <c r="I76" t="str">
        <f t="shared" si="4"/>
        <v>Bronze</v>
      </c>
      <c r="J76" t="str">
        <f t="shared" si="5"/>
        <v>John Mayer</v>
      </c>
      <c r="K76" t="str">
        <f t="shared" si="3"/>
        <v>John Mayer</v>
      </c>
      <c r="S76" s="11" t="s">
        <v>1071</v>
      </c>
      <c r="T76">
        <v>56</v>
      </c>
    </row>
    <row r="77" spans="1:20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  <c r="I77" t="str">
        <f t="shared" si="4"/>
        <v>Gold</v>
      </c>
      <c r="J77" t="str">
        <f t="shared" si="5"/>
        <v>Rhonda Morales</v>
      </c>
      <c r="K77" t="str">
        <f t="shared" si="3"/>
        <v>Rhonda Morales</v>
      </c>
      <c r="S77" s="9" t="s">
        <v>655</v>
      </c>
      <c r="T77">
        <v>30</v>
      </c>
    </row>
    <row r="78" spans="1:20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  <c r="I78" t="str">
        <f t="shared" si="4"/>
        <v>Gold</v>
      </c>
      <c r="J78" t="str">
        <f t="shared" si="5"/>
        <v>Nathan Campbell</v>
      </c>
      <c r="K78" t="str">
        <f t="shared" si="3"/>
        <v>Nathan Campbell</v>
      </c>
      <c r="S78" s="10" t="s">
        <v>9</v>
      </c>
      <c r="T78">
        <v>30</v>
      </c>
    </row>
    <row r="79" spans="1:20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  <c r="I79" t="str">
        <f t="shared" si="4"/>
        <v>Gold</v>
      </c>
      <c r="J79" t="str">
        <f t="shared" si="5"/>
        <v>Katherine Young</v>
      </c>
      <c r="K79" t="str">
        <f t="shared" si="3"/>
        <v>Katherine Young</v>
      </c>
      <c r="S79" s="11" t="s">
        <v>654</v>
      </c>
      <c r="T79">
        <v>30</v>
      </c>
    </row>
    <row r="80" spans="1:20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  <c r="I80" t="str">
        <f t="shared" si="4"/>
        <v>Gold</v>
      </c>
      <c r="J80" t="str">
        <f t="shared" si="5"/>
        <v>Cody Blake</v>
      </c>
      <c r="K80" t="str">
        <f t="shared" si="3"/>
        <v>Cody Blake</v>
      </c>
      <c r="S80" s="9" t="s">
        <v>641</v>
      </c>
      <c r="T80">
        <v>60</v>
      </c>
    </row>
    <row r="81" spans="1:20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  <c r="I81" t="str">
        <f t="shared" si="4"/>
        <v>Platinum</v>
      </c>
      <c r="J81" t="str">
        <f t="shared" si="5"/>
        <v>Molly Gardner</v>
      </c>
      <c r="K81" t="str">
        <f t="shared" si="3"/>
        <v>Molly Gardner</v>
      </c>
      <c r="S81" s="10" t="s">
        <v>9</v>
      </c>
      <c r="T81">
        <v>60</v>
      </c>
    </row>
    <row r="82" spans="1:20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  <c r="I82" t="str">
        <f t="shared" si="4"/>
        <v>Bronze</v>
      </c>
      <c r="J82" t="str">
        <f t="shared" si="5"/>
        <v>Jennifer Garcia</v>
      </c>
      <c r="K82" t="str">
        <f t="shared" si="3"/>
        <v>Jennifer Garcia</v>
      </c>
      <c r="S82" s="11" t="s">
        <v>640</v>
      </c>
      <c r="T82">
        <v>60</v>
      </c>
    </row>
    <row r="83" spans="1:20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  <c r="I83" t="str">
        <f t="shared" si="4"/>
        <v>Platinum</v>
      </c>
      <c r="J83" t="str">
        <f t="shared" si="5"/>
        <v>Krystal Ford</v>
      </c>
      <c r="K83" t="str">
        <f t="shared" si="3"/>
        <v>Krystal Ford</v>
      </c>
      <c r="S83" s="9" t="s">
        <v>725</v>
      </c>
      <c r="T83">
        <v>29</v>
      </c>
    </row>
    <row r="84" spans="1:20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  <c r="I84" t="str">
        <f t="shared" si="4"/>
        <v>Bronze</v>
      </c>
      <c r="J84" t="str">
        <f t="shared" si="5"/>
        <v>George Rosario</v>
      </c>
      <c r="K84" t="str">
        <f t="shared" si="3"/>
        <v>George Rosario</v>
      </c>
      <c r="S84" s="10" t="s">
        <v>9</v>
      </c>
      <c r="T84">
        <v>29</v>
      </c>
    </row>
    <row r="85" spans="1:20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  <c r="I85" t="str">
        <f t="shared" si="4"/>
        <v>Bronze</v>
      </c>
      <c r="J85" t="str">
        <f t="shared" si="5"/>
        <v>Thomas Robinson</v>
      </c>
      <c r="K85" t="str">
        <f t="shared" si="3"/>
        <v>Thomas Robinson</v>
      </c>
      <c r="S85" s="11" t="s">
        <v>724</v>
      </c>
      <c r="T85">
        <v>29</v>
      </c>
    </row>
    <row r="86" spans="1:20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  <c r="I86" t="str">
        <f t="shared" si="4"/>
        <v>Platinum</v>
      </c>
      <c r="J86" t="str">
        <f t="shared" si="5"/>
        <v>Christy Hoffman</v>
      </c>
      <c r="K86" t="str">
        <f t="shared" si="3"/>
        <v>Christy Hoffman</v>
      </c>
      <c r="S86" s="9" t="s">
        <v>406</v>
      </c>
      <c r="T86">
        <v>18</v>
      </c>
    </row>
    <row r="87" spans="1:20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  <c r="I87" t="str">
        <f t="shared" si="4"/>
        <v>Silver</v>
      </c>
      <c r="J87" t="str">
        <f t="shared" si="5"/>
        <v>Richard Delgado</v>
      </c>
      <c r="K87" t="str">
        <f t="shared" si="3"/>
        <v>Richard Delgado</v>
      </c>
      <c r="S87" s="10" t="s">
        <v>16</v>
      </c>
      <c r="T87">
        <v>18</v>
      </c>
    </row>
    <row r="88" spans="1:20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  <c r="I88" t="str">
        <f t="shared" si="4"/>
        <v>Gold</v>
      </c>
      <c r="J88" t="str">
        <f t="shared" si="5"/>
        <v>Tammy Miller Md</v>
      </c>
      <c r="K88" t="str">
        <f t="shared" si="3"/>
        <v>Tammy Miller Md</v>
      </c>
      <c r="S88" s="11" t="s">
        <v>405</v>
      </c>
      <c r="T88">
        <v>18</v>
      </c>
    </row>
    <row r="89" spans="1:20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  <c r="I89" t="str">
        <f t="shared" si="4"/>
        <v>Bronze</v>
      </c>
      <c r="J89" t="str">
        <f t="shared" si="5"/>
        <v>Melissa Duffy Md</v>
      </c>
      <c r="K89" t="str">
        <f t="shared" si="3"/>
        <v>Melissa Duffy Md</v>
      </c>
      <c r="S89" s="9" t="s">
        <v>685</v>
      </c>
      <c r="T89">
        <v>48</v>
      </c>
    </row>
    <row r="90" spans="1:20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  <c r="I90" t="str">
        <f t="shared" si="4"/>
        <v>Silver</v>
      </c>
      <c r="J90" t="str">
        <f t="shared" si="5"/>
        <v>Timothy Wright</v>
      </c>
      <c r="K90" t="str">
        <f t="shared" si="3"/>
        <v>Timothy Wright</v>
      </c>
      <c r="S90" s="10" t="s">
        <v>9</v>
      </c>
      <c r="T90">
        <v>48</v>
      </c>
    </row>
    <row r="91" spans="1:20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  <c r="I91" t="str">
        <f t="shared" si="4"/>
        <v>Platinum</v>
      </c>
      <c r="J91" t="str">
        <f t="shared" si="5"/>
        <v>Jamie Yoder</v>
      </c>
      <c r="K91" t="str">
        <f t="shared" si="3"/>
        <v>Jamie Yoder</v>
      </c>
      <c r="S91" s="11" t="s">
        <v>684</v>
      </c>
      <c r="T91">
        <v>48</v>
      </c>
    </row>
    <row r="92" spans="1:20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  <c r="I92" t="str">
        <f t="shared" si="4"/>
        <v>Platinum</v>
      </c>
      <c r="J92" t="str">
        <f t="shared" si="5"/>
        <v>Oscar Moon</v>
      </c>
      <c r="K92" t="str">
        <f t="shared" si="3"/>
        <v>Oscar Moon</v>
      </c>
      <c r="S92" s="9" t="s">
        <v>891</v>
      </c>
      <c r="T92">
        <v>48</v>
      </c>
    </row>
    <row r="93" spans="1:20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  <c r="I93" t="str">
        <f t="shared" si="4"/>
        <v>Silver</v>
      </c>
      <c r="J93" t="str">
        <f t="shared" si="5"/>
        <v>Donna Gregory</v>
      </c>
      <c r="K93" t="str">
        <f t="shared" si="3"/>
        <v>Donna Gregory</v>
      </c>
      <c r="S93" s="10" t="s">
        <v>9</v>
      </c>
      <c r="T93">
        <v>48</v>
      </c>
    </row>
    <row r="94" spans="1:20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  <c r="I94" t="str">
        <f t="shared" si="4"/>
        <v>Platinum</v>
      </c>
      <c r="J94" t="str">
        <f t="shared" si="5"/>
        <v>Robert Jackson</v>
      </c>
      <c r="K94" t="str">
        <f t="shared" si="3"/>
        <v>Robert Jackson</v>
      </c>
      <c r="S94" s="11" t="s">
        <v>890</v>
      </c>
      <c r="T94">
        <v>48</v>
      </c>
    </row>
    <row r="95" spans="1:20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  <c r="I95" t="str">
        <f t="shared" si="4"/>
        <v>Gold</v>
      </c>
      <c r="J95" t="str">
        <f t="shared" si="5"/>
        <v>Christy Vasquez</v>
      </c>
      <c r="K95" t="str">
        <f t="shared" si="3"/>
        <v>Christy Vasquez</v>
      </c>
      <c r="S95" s="9" t="s">
        <v>557</v>
      </c>
      <c r="T95">
        <v>36</v>
      </c>
    </row>
    <row r="96" spans="1:20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  <c r="I96" t="str">
        <f t="shared" si="4"/>
        <v>Gold</v>
      </c>
      <c r="J96" t="str">
        <f t="shared" si="5"/>
        <v>David Patterson</v>
      </c>
      <c r="K96" t="str">
        <f t="shared" si="3"/>
        <v>David Patterson</v>
      </c>
      <c r="S96" s="10" t="s">
        <v>16</v>
      </c>
      <c r="T96">
        <v>36</v>
      </c>
    </row>
    <row r="97" spans="1:20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  <c r="I97" t="str">
        <f t="shared" si="4"/>
        <v>Platinum</v>
      </c>
      <c r="J97" t="str">
        <f t="shared" si="5"/>
        <v>Amy Fowler</v>
      </c>
      <c r="K97" t="str">
        <f t="shared" si="3"/>
        <v>Amy Fowler</v>
      </c>
      <c r="S97" s="11" t="s">
        <v>556</v>
      </c>
      <c r="T97">
        <v>36</v>
      </c>
    </row>
    <row r="98" spans="1:20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  <c r="I98" t="str">
        <f t="shared" si="4"/>
        <v>Platinum</v>
      </c>
      <c r="J98" t="str">
        <f t="shared" si="5"/>
        <v>Samantha Walker</v>
      </c>
      <c r="K98" t="str">
        <f t="shared" si="3"/>
        <v>Samantha Walker</v>
      </c>
      <c r="S98" s="9" t="s">
        <v>186</v>
      </c>
      <c r="T98">
        <v>54</v>
      </c>
    </row>
    <row r="99" spans="1:20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  <c r="I99" t="str">
        <f t="shared" si="4"/>
        <v>Silver</v>
      </c>
      <c r="J99" t="str">
        <f t="shared" si="5"/>
        <v>David Cobb</v>
      </c>
      <c r="K99" t="str">
        <f t="shared" si="3"/>
        <v>David Cobb</v>
      </c>
      <c r="S99" s="10" t="s">
        <v>9</v>
      </c>
      <c r="T99">
        <v>54</v>
      </c>
    </row>
    <row r="100" spans="1:20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  <c r="I100" t="str">
        <f t="shared" si="4"/>
        <v>Gold</v>
      </c>
      <c r="J100" t="str">
        <f t="shared" si="5"/>
        <v>Brittney Morgan</v>
      </c>
      <c r="K100" t="str">
        <f t="shared" si="3"/>
        <v>Brittney Morgan</v>
      </c>
      <c r="S100" s="11" t="s">
        <v>185</v>
      </c>
      <c r="T100">
        <v>54</v>
      </c>
    </row>
    <row r="101" spans="1:20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  <c r="I101" t="str">
        <f t="shared" si="4"/>
        <v>Silver</v>
      </c>
      <c r="J101" t="str">
        <f t="shared" si="5"/>
        <v>Sheila Wilson</v>
      </c>
      <c r="K101" t="str">
        <f t="shared" si="3"/>
        <v>Sheila Wilson</v>
      </c>
      <c r="S101" s="9" t="s">
        <v>1401</v>
      </c>
      <c r="T101">
        <v>62</v>
      </c>
    </row>
    <row r="102" spans="1:20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  <c r="I102" t="str">
        <f t="shared" si="4"/>
        <v>Platinum</v>
      </c>
      <c r="J102" t="str">
        <f t="shared" si="5"/>
        <v>Diane Watson</v>
      </c>
      <c r="K102" t="str">
        <f t="shared" si="3"/>
        <v>Diane Watson</v>
      </c>
      <c r="S102" s="10" t="s">
        <v>16</v>
      </c>
      <c r="T102">
        <v>62</v>
      </c>
    </row>
    <row r="103" spans="1:20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  <c r="I103" t="str">
        <f t="shared" si="4"/>
        <v>Gold</v>
      </c>
      <c r="J103" t="str">
        <f t="shared" si="5"/>
        <v>Colleen Maynard</v>
      </c>
      <c r="K103" t="str">
        <f t="shared" si="3"/>
        <v>Colleen Maynard</v>
      </c>
      <c r="S103" s="11" t="s">
        <v>1400</v>
      </c>
      <c r="T103">
        <v>62</v>
      </c>
    </row>
    <row r="104" spans="1:20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  <c r="I104" t="str">
        <f t="shared" si="4"/>
        <v>Bronze</v>
      </c>
      <c r="J104" t="str">
        <f t="shared" si="5"/>
        <v>Sarah Schneider</v>
      </c>
      <c r="K104" t="str">
        <f t="shared" si="3"/>
        <v>Sarah Schneider</v>
      </c>
      <c r="S104" s="9" t="s">
        <v>879</v>
      </c>
      <c r="T104">
        <v>38</v>
      </c>
    </row>
    <row r="105" spans="1:20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  <c r="I105" t="str">
        <f t="shared" si="4"/>
        <v>Bronze</v>
      </c>
      <c r="J105" t="str">
        <f t="shared" si="5"/>
        <v>Steven Stein</v>
      </c>
      <c r="K105" t="str">
        <f t="shared" si="3"/>
        <v>Steven Stein</v>
      </c>
      <c r="S105" s="10" t="s">
        <v>9</v>
      </c>
      <c r="T105">
        <v>38</v>
      </c>
    </row>
    <row r="106" spans="1:20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  <c r="I106" t="str">
        <f t="shared" si="4"/>
        <v>Silver</v>
      </c>
      <c r="J106" t="str">
        <f t="shared" si="5"/>
        <v>Christopher Lester</v>
      </c>
      <c r="K106" t="str">
        <f t="shared" si="3"/>
        <v>Christopher Lester</v>
      </c>
      <c r="S106" s="11" t="s">
        <v>878</v>
      </c>
      <c r="T106">
        <v>38</v>
      </c>
    </row>
    <row r="107" spans="1:20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  <c r="I107" t="str">
        <f t="shared" si="4"/>
        <v>Gold</v>
      </c>
      <c r="J107" t="str">
        <f t="shared" si="5"/>
        <v>Lance Baker</v>
      </c>
      <c r="K107" t="str">
        <f t="shared" si="3"/>
        <v>Lance Baker</v>
      </c>
      <c r="S107" s="9" t="s">
        <v>1122</v>
      </c>
      <c r="T107">
        <v>60</v>
      </c>
    </row>
    <row r="108" spans="1:20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  <c r="I108" t="str">
        <f t="shared" si="4"/>
        <v>Bronze</v>
      </c>
      <c r="J108" t="str">
        <f t="shared" si="5"/>
        <v>Howard Summers</v>
      </c>
      <c r="K108" t="str">
        <f t="shared" si="3"/>
        <v>Howard Summers</v>
      </c>
      <c r="S108" s="10" t="s">
        <v>16</v>
      </c>
      <c r="T108">
        <v>60</v>
      </c>
    </row>
    <row r="109" spans="1:20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  <c r="I109" t="str">
        <f t="shared" si="4"/>
        <v>Platinum</v>
      </c>
      <c r="J109" t="str">
        <f t="shared" si="5"/>
        <v>Erica Carney</v>
      </c>
      <c r="K109" t="str">
        <f t="shared" si="3"/>
        <v>Erica Carney</v>
      </c>
      <c r="S109" s="11" t="s">
        <v>1121</v>
      </c>
      <c r="T109">
        <v>60</v>
      </c>
    </row>
    <row r="110" spans="1:20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  <c r="I110" t="str">
        <f t="shared" si="4"/>
        <v>Bronze</v>
      </c>
      <c r="J110" t="str">
        <f t="shared" si="5"/>
        <v>Travis Holland</v>
      </c>
      <c r="K110" t="str">
        <f t="shared" si="3"/>
        <v>Travis Holland</v>
      </c>
      <c r="S110" s="9" t="s">
        <v>68</v>
      </c>
      <c r="T110">
        <v>53</v>
      </c>
    </row>
    <row r="111" spans="1:20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  <c r="I111" t="str">
        <f t="shared" si="4"/>
        <v>Silver</v>
      </c>
      <c r="J111" t="str">
        <f t="shared" si="5"/>
        <v>Amy Walker</v>
      </c>
      <c r="K111" t="str">
        <f t="shared" si="3"/>
        <v>Amy Walker</v>
      </c>
      <c r="S111" s="10" t="s">
        <v>16</v>
      </c>
      <c r="T111">
        <v>53</v>
      </c>
    </row>
    <row r="112" spans="1:20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  <c r="I112" t="str">
        <f t="shared" si="4"/>
        <v>Gold</v>
      </c>
      <c r="J112" t="str">
        <f t="shared" si="5"/>
        <v>Ashley Griffin</v>
      </c>
      <c r="K112" t="str">
        <f t="shared" si="3"/>
        <v>Ashley Griffin</v>
      </c>
      <c r="S112" s="11" t="s">
        <v>67</v>
      </c>
      <c r="T112">
        <v>53</v>
      </c>
    </row>
    <row r="113" spans="1:20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  <c r="I113" t="str">
        <f t="shared" si="4"/>
        <v>Platinum</v>
      </c>
      <c r="J113" t="str">
        <f t="shared" si="5"/>
        <v>Julie Farmer</v>
      </c>
      <c r="K113" t="str">
        <f t="shared" si="3"/>
        <v>Julie Farmer</v>
      </c>
      <c r="S113" s="9" t="s">
        <v>638</v>
      </c>
      <c r="T113">
        <v>46</v>
      </c>
    </row>
    <row r="114" spans="1:20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  <c r="I114" t="str">
        <f t="shared" si="4"/>
        <v>Silver</v>
      </c>
      <c r="J114" t="str">
        <f t="shared" si="5"/>
        <v>David Cole</v>
      </c>
      <c r="K114" t="str">
        <f t="shared" si="3"/>
        <v>David Cole</v>
      </c>
      <c r="S114" s="10" t="s">
        <v>9</v>
      </c>
      <c r="T114">
        <v>46</v>
      </c>
    </row>
    <row r="115" spans="1:20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  <c r="I115" t="str">
        <f t="shared" si="4"/>
        <v>Gold</v>
      </c>
      <c r="J115" t="str">
        <f t="shared" si="5"/>
        <v>Edward Hall</v>
      </c>
      <c r="K115" t="str">
        <f t="shared" si="3"/>
        <v>Edward Hall</v>
      </c>
      <c r="S115" s="11" t="s">
        <v>637</v>
      </c>
      <c r="T115">
        <v>46</v>
      </c>
    </row>
    <row r="116" spans="1:20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  <c r="I116" t="str">
        <f t="shared" si="4"/>
        <v>Bronze</v>
      </c>
      <c r="J116" t="str">
        <f t="shared" si="5"/>
        <v>Ryan Hernandez</v>
      </c>
      <c r="K116" t="str">
        <f t="shared" si="3"/>
        <v>Ryan Hernandez</v>
      </c>
      <c r="S116" s="9" t="s">
        <v>388</v>
      </c>
      <c r="T116">
        <v>40</v>
      </c>
    </row>
    <row r="117" spans="1:20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  <c r="I117" t="str">
        <f t="shared" si="4"/>
        <v>Platinum</v>
      </c>
      <c r="J117" t="str">
        <f t="shared" si="5"/>
        <v>Tyler Conrad</v>
      </c>
      <c r="K117" t="str">
        <f t="shared" si="3"/>
        <v>Tyler Conrad</v>
      </c>
      <c r="S117" s="10" t="s">
        <v>16</v>
      </c>
      <c r="T117">
        <v>40</v>
      </c>
    </row>
    <row r="118" spans="1:20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  <c r="I118" t="str">
        <f t="shared" si="4"/>
        <v>Platinum</v>
      </c>
      <c r="J118" t="str">
        <f t="shared" si="5"/>
        <v>Anthony Phillips</v>
      </c>
      <c r="K118" t="str">
        <f t="shared" si="3"/>
        <v>Anthony Phillips</v>
      </c>
      <c r="S118" s="11" t="s">
        <v>387</v>
      </c>
      <c r="T118">
        <v>40</v>
      </c>
    </row>
    <row r="119" spans="1:20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  <c r="I119" t="str">
        <f t="shared" si="4"/>
        <v>Platinum</v>
      </c>
      <c r="J119" t="str">
        <f t="shared" si="5"/>
        <v>Colleen Mccarthy</v>
      </c>
      <c r="K119" t="str">
        <f t="shared" si="3"/>
        <v>Colleen Mccarthy</v>
      </c>
      <c r="S119" s="9" t="s">
        <v>1396</v>
      </c>
      <c r="T119">
        <v>46</v>
      </c>
    </row>
    <row r="120" spans="1:20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  <c r="I120" t="str">
        <f t="shared" si="4"/>
        <v>Platinum</v>
      </c>
      <c r="J120" t="str">
        <f t="shared" si="5"/>
        <v>Earl Allen</v>
      </c>
      <c r="K120" t="str">
        <f t="shared" si="3"/>
        <v>Earl Allen</v>
      </c>
      <c r="S120" s="10" t="s">
        <v>9</v>
      </c>
      <c r="T120">
        <v>46</v>
      </c>
    </row>
    <row r="121" spans="1:20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  <c r="I121" t="str">
        <f t="shared" si="4"/>
        <v>Bronze</v>
      </c>
      <c r="J121" t="str">
        <f t="shared" si="5"/>
        <v>Michael Jones</v>
      </c>
      <c r="K121" t="str">
        <f t="shared" si="3"/>
        <v>Michael Jones</v>
      </c>
      <c r="S121" s="11" t="s">
        <v>1395</v>
      </c>
      <c r="T121">
        <v>46</v>
      </c>
    </row>
    <row r="122" spans="1:20" x14ac:dyDescent="0.25">
      <c r="A122" t="s">
        <v>417</v>
      </c>
      <c r="B122" t="s">
        <v>418</v>
      </c>
      <c r="C122">
        <v>44</v>
      </c>
      <c r="D122" t="s">
        <v>16</v>
      </c>
      <c r="E122" t="s">
        <v>1536</v>
      </c>
      <c r="F122" t="s">
        <v>51</v>
      </c>
      <c r="G122" t="s">
        <v>12</v>
      </c>
      <c r="H122" t="s">
        <v>19</v>
      </c>
      <c r="I122" t="str">
        <f t="shared" si="4"/>
        <v>Platinum</v>
      </c>
      <c r="J122" t="str">
        <f t="shared" si="5"/>
        <v>Jacob Hopkins</v>
      </c>
      <c r="K122" t="str">
        <f t="shared" si="3"/>
        <v>Jacob Hopkins</v>
      </c>
      <c r="S122" s="9" t="s">
        <v>1465</v>
      </c>
      <c r="T122">
        <v>18</v>
      </c>
    </row>
    <row r="123" spans="1:20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  <c r="I123" t="str">
        <f t="shared" si="4"/>
        <v>Platinum</v>
      </c>
      <c r="J123" t="str">
        <f t="shared" si="5"/>
        <v>Joel Robinson</v>
      </c>
      <c r="K123" t="str">
        <f t="shared" si="3"/>
        <v>Joel Robinson</v>
      </c>
      <c r="S123" s="10" t="s">
        <v>16</v>
      </c>
      <c r="T123">
        <v>18</v>
      </c>
    </row>
    <row r="124" spans="1:20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  <c r="I124" t="str">
        <f t="shared" si="4"/>
        <v>Platinum</v>
      </c>
      <c r="J124" t="str">
        <f t="shared" si="5"/>
        <v>Michael Chang</v>
      </c>
      <c r="K124" t="str">
        <f t="shared" si="3"/>
        <v>Michael Chang</v>
      </c>
      <c r="S124" s="11" t="s">
        <v>1464</v>
      </c>
      <c r="T124">
        <v>18</v>
      </c>
    </row>
    <row r="125" spans="1:20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  <c r="I125" t="str">
        <f t="shared" si="4"/>
        <v>Silver</v>
      </c>
      <c r="J125" t="str">
        <f t="shared" si="5"/>
        <v>Erin Hopkins</v>
      </c>
      <c r="K125" t="str">
        <f t="shared" si="3"/>
        <v>Erin Hopkins</v>
      </c>
      <c r="S125" s="9" t="s">
        <v>828</v>
      </c>
      <c r="T125">
        <v>32</v>
      </c>
    </row>
    <row r="126" spans="1:20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  <c r="I126" t="str">
        <f t="shared" si="4"/>
        <v>Bronze</v>
      </c>
      <c r="J126" t="str">
        <f t="shared" si="5"/>
        <v>Donald Lee</v>
      </c>
      <c r="K126" t="str">
        <f t="shared" si="3"/>
        <v>Donald Lee</v>
      </c>
      <c r="S126" s="10" t="s">
        <v>16</v>
      </c>
      <c r="T126">
        <v>32</v>
      </c>
    </row>
    <row r="127" spans="1:20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  <c r="I127" t="str">
        <f t="shared" si="4"/>
        <v>Platinum</v>
      </c>
      <c r="J127" t="str">
        <f t="shared" si="5"/>
        <v>Keith Miller</v>
      </c>
      <c r="K127" t="str">
        <f t="shared" si="3"/>
        <v>Keith Miller</v>
      </c>
      <c r="S127" s="11" t="s">
        <v>827</v>
      </c>
      <c r="T127">
        <v>32</v>
      </c>
    </row>
    <row r="128" spans="1:20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  <c r="I128" t="str">
        <f t="shared" si="4"/>
        <v>Gold</v>
      </c>
      <c r="J128" t="str">
        <f t="shared" si="5"/>
        <v>James Wolfe</v>
      </c>
      <c r="K128" t="str">
        <f t="shared" si="3"/>
        <v>James Wolfe</v>
      </c>
      <c r="S128" s="9" t="s">
        <v>1426</v>
      </c>
      <c r="T128">
        <v>34</v>
      </c>
    </row>
    <row r="129" spans="1:20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  <c r="I129" t="str">
        <f t="shared" si="4"/>
        <v>Platinum</v>
      </c>
      <c r="J129" t="str">
        <f t="shared" si="5"/>
        <v>John Mcknight</v>
      </c>
      <c r="K129" t="str">
        <f t="shared" si="3"/>
        <v>John Mcknight</v>
      </c>
      <c r="S129" s="10" t="s">
        <v>16</v>
      </c>
      <c r="T129">
        <v>34</v>
      </c>
    </row>
    <row r="130" spans="1:20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  <c r="I130" t="str">
        <f t="shared" si="4"/>
        <v>Silver</v>
      </c>
      <c r="J130" t="str">
        <f t="shared" si="5"/>
        <v>Susan Mcdonald</v>
      </c>
      <c r="K130" t="str">
        <f t="shared" ref="K130:K193" si="6">TRIM(J130)</f>
        <v>Susan Mcdonald</v>
      </c>
      <c r="S130" s="11" t="s">
        <v>1425</v>
      </c>
      <c r="T130">
        <v>34</v>
      </c>
    </row>
    <row r="131" spans="1:20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  <c r="I131" t="str">
        <f t="shared" ref="I131:I194" si="7">IF(ISBLANK(H131),"Unknown",H131)</f>
        <v>Silver</v>
      </c>
      <c r="J131" t="str">
        <f t="shared" ref="J131:J194" si="8">PROPER(B131)</f>
        <v>Jessica Mitchell</v>
      </c>
      <c r="K131" t="str">
        <f t="shared" si="6"/>
        <v>Jessica Mitchell</v>
      </c>
      <c r="S131" s="9" t="s">
        <v>691</v>
      </c>
      <c r="T131">
        <v>63</v>
      </c>
    </row>
    <row r="132" spans="1:20" x14ac:dyDescent="0.25">
      <c r="A132" t="s">
        <v>447</v>
      </c>
      <c r="B132" t="s">
        <v>448</v>
      </c>
      <c r="C132">
        <v>29</v>
      </c>
      <c r="D132" t="s">
        <v>9</v>
      </c>
      <c r="E132" t="s">
        <v>1537</v>
      </c>
      <c r="F132" t="s">
        <v>167</v>
      </c>
      <c r="G132" t="s">
        <v>1538</v>
      </c>
      <c r="H132" t="s">
        <v>19</v>
      </c>
      <c r="I132" t="str">
        <f t="shared" si="7"/>
        <v>Platinum</v>
      </c>
      <c r="J132" t="str">
        <f t="shared" si="8"/>
        <v>Jamie Reyes</v>
      </c>
      <c r="K132" t="str">
        <f t="shared" si="6"/>
        <v>Jamie Reyes</v>
      </c>
      <c r="S132" s="10" t="s">
        <v>16</v>
      </c>
      <c r="T132">
        <v>63</v>
      </c>
    </row>
    <row r="133" spans="1:20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  <c r="I133" t="str">
        <f t="shared" si="7"/>
        <v>Bronze</v>
      </c>
      <c r="J133" t="str">
        <f t="shared" si="8"/>
        <v>Joseph Richards</v>
      </c>
      <c r="K133" t="str">
        <f t="shared" si="6"/>
        <v>Joseph Richards</v>
      </c>
      <c r="S133" s="11" t="s">
        <v>690</v>
      </c>
      <c r="T133">
        <v>63</v>
      </c>
    </row>
    <row r="134" spans="1:20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  <c r="I134" t="str">
        <f t="shared" si="7"/>
        <v>Gold</v>
      </c>
      <c r="J134" t="str">
        <f t="shared" si="8"/>
        <v>Miguel Reynolds</v>
      </c>
      <c r="K134" t="str">
        <f t="shared" si="6"/>
        <v>Miguel Reynolds</v>
      </c>
      <c r="S134" s="9" t="s">
        <v>1143</v>
      </c>
      <c r="T134">
        <v>63</v>
      </c>
    </row>
    <row r="135" spans="1:20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  <c r="I135" t="str">
        <f t="shared" si="7"/>
        <v>Bronze</v>
      </c>
      <c r="J135" t="str">
        <f t="shared" si="8"/>
        <v>Hayley Pope</v>
      </c>
      <c r="K135" t="str">
        <f t="shared" si="6"/>
        <v>Hayley Pope</v>
      </c>
      <c r="S135" s="10" t="s">
        <v>16</v>
      </c>
      <c r="T135">
        <v>63</v>
      </c>
    </row>
    <row r="136" spans="1:20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  <c r="I136" t="str">
        <f t="shared" si="7"/>
        <v>Gold</v>
      </c>
      <c r="J136" t="str">
        <f t="shared" si="8"/>
        <v>Morgan Bowen</v>
      </c>
      <c r="K136" t="str">
        <f t="shared" si="6"/>
        <v>Morgan Bowen</v>
      </c>
      <c r="S136" s="11" t="s">
        <v>1142</v>
      </c>
      <c r="T136">
        <v>63</v>
      </c>
    </row>
    <row r="137" spans="1:20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  <c r="I137" t="str">
        <f t="shared" si="7"/>
        <v>Platinum</v>
      </c>
      <c r="J137" t="str">
        <f t="shared" si="8"/>
        <v>Matthew Hanna</v>
      </c>
      <c r="K137" t="str">
        <f t="shared" si="6"/>
        <v>Matthew Hanna</v>
      </c>
      <c r="S137" s="9" t="s">
        <v>1233</v>
      </c>
      <c r="T137">
        <v>50</v>
      </c>
    </row>
    <row r="138" spans="1:20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  <c r="I138" t="str">
        <f t="shared" si="7"/>
        <v>Silver</v>
      </c>
      <c r="J138" t="str">
        <f t="shared" si="8"/>
        <v>Patrick Coleman</v>
      </c>
      <c r="K138" t="str">
        <f t="shared" si="6"/>
        <v>Patrick Coleman</v>
      </c>
      <c r="S138" s="10" t="s">
        <v>9</v>
      </c>
      <c r="T138">
        <v>50</v>
      </c>
    </row>
    <row r="139" spans="1:20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  <c r="I139" t="str">
        <f t="shared" si="7"/>
        <v>Platinum</v>
      </c>
      <c r="J139" t="str">
        <f t="shared" si="8"/>
        <v>Rick Dominguez</v>
      </c>
      <c r="K139" t="str">
        <f t="shared" si="6"/>
        <v>Rick Dominguez</v>
      </c>
      <c r="S139" s="11" t="s">
        <v>1232</v>
      </c>
      <c r="T139">
        <v>50</v>
      </c>
    </row>
    <row r="140" spans="1:20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  <c r="I140" t="str">
        <f t="shared" si="7"/>
        <v>Gold</v>
      </c>
      <c r="J140" t="str">
        <f t="shared" si="8"/>
        <v>Sean Roth</v>
      </c>
      <c r="K140" t="str">
        <f t="shared" si="6"/>
        <v>Sean Roth</v>
      </c>
      <c r="S140" s="9" t="s">
        <v>970</v>
      </c>
      <c r="T140">
        <v>56</v>
      </c>
    </row>
    <row r="141" spans="1:20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  <c r="I141" t="str">
        <f t="shared" si="7"/>
        <v>Bronze</v>
      </c>
      <c r="J141" t="str">
        <f t="shared" si="8"/>
        <v>Brian Holder</v>
      </c>
      <c r="K141" t="str">
        <f t="shared" si="6"/>
        <v>Brian Holder</v>
      </c>
      <c r="S141" s="10" t="s">
        <v>16</v>
      </c>
      <c r="T141">
        <v>56</v>
      </c>
    </row>
    <row r="142" spans="1:20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  <c r="I142" t="str">
        <f t="shared" si="7"/>
        <v>Gold</v>
      </c>
      <c r="J142" t="str">
        <f t="shared" si="8"/>
        <v>Patty Francis</v>
      </c>
      <c r="K142" t="str">
        <f t="shared" si="6"/>
        <v>Patty Francis</v>
      </c>
      <c r="S142" s="11" t="s">
        <v>969</v>
      </c>
      <c r="T142">
        <v>56</v>
      </c>
    </row>
    <row r="143" spans="1:20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1538</v>
      </c>
      <c r="H143" t="s">
        <v>26</v>
      </c>
      <c r="I143" t="str">
        <f t="shared" si="7"/>
        <v>Bronze</v>
      </c>
      <c r="J143" t="str">
        <f t="shared" si="8"/>
        <v>Cristian Wright</v>
      </c>
      <c r="K143" t="str">
        <f t="shared" si="6"/>
        <v>Cristian Wright</v>
      </c>
      <c r="S143" s="9" t="s">
        <v>611</v>
      </c>
      <c r="T143">
        <v>54</v>
      </c>
    </row>
    <row r="144" spans="1:20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  <c r="I144" t="str">
        <f t="shared" si="7"/>
        <v>Bronze</v>
      </c>
      <c r="J144" t="str">
        <f t="shared" si="8"/>
        <v>Maria Ramirez</v>
      </c>
      <c r="K144" t="str">
        <f t="shared" si="6"/>
        <v>Maria Ramirez</v>
      </c>
      <c r="S144" s="10" t="s">
        <v>16</v>
      </c>
      <c r="T144">
        <v>54</v>
      </c>
    </row>
    <row r="145" spans="1:20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  <c r="I145" t="str">
        <f t="shared" si="7"/>
        <v>Bronze</v>
      </c>
      <c r="J145" t="str">
        <f t="shared" si="8"/>
        <v>Carlos Skinner</v>
      </c>
      <c r="K145" t="str">
        <f t="shared" si="6"/>
        <v>Carlos Skinner</v>
      </c>
      <c r="S145" s="11" t="s">
        <v>610</v>
      </c>
      <c r="T145">
        <v>54</v>
      </c>
    </row>
    <row r="146" spans="1:20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  <c r="I146" t="str">
        <f t="shared" si="7"/>
        <v>Bronze</v>
      </c>
      <c r="J146" t="str">
        <f t="shared" si="8"/>
        <v>Justin Cross</v>
      </c>
      <c r="K146" t="str">
        <f t="shared" si="6"/>
        <v>Justin Cross</v>
      </c>
      <c r="S146" s="9" t="s">
        <v>533</v>
      </c>
      <c r="T146">
        <v>46</v>
      </c>
    </row>
    <row r="147" spans="1:20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  <c r="I147" t="str">
        <f t="shared" si="7"/>
        <v>Platinum</v>
      </c>
      <c r="J147" t="str">
        <f t="shared" si="8"/>
        <v>Cameron Simpson</v>
      </c>
      <c r="K147" t="str">
        <f t="shared" si="6"/>
        <v>Cameron Simpson</v>
      </c>
      <c r="S147" s="10" t="s">
        <v>16</v>
      </c>
      <c r="T147">
        <v>46</v>
      </c>
    </row>
    <row r="148" spans="1:20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  <c r="I148" t="str">
        <f t="shared" si="7"/>
        <v>Gold</v>
      </c>
      <c r="J148" t="str">
        <f t="shared" si="8"/>
        <v>Edward Rivera</v>
      </c>
      <c r="K148" t="str">
        <f t="shared" si="6"/>
        <v>Edward Rivera</v>
      </c>
      <c r="S148" s="11" t="s">
        <v>532</v>
      </c>
      <c r="T148">
        <v>46</v>
      </c>
    </row>
    <row r="149" spans="1:20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  <c r="I149" t="str">
        <f t="shared" si="7"/>
        <v>Platinum</v>
      </c>
      <c r="J149" t="str">
        <f t="shared" si="8"/>
        <v>Rhonda Young</v>
      </c>
      <c r="K149" t="str">
        <f t="shared" si="6"/>
        <v>Rhonda Young</v>
      </c>
      <c r="S149" s="9" t="s">
        <v>861</v>
      </c>
      <c r="T149">
        <v>31</v>
      </c>
    </row>
    <row r="150" spans="1:20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  <c r="I150" t="str">
        <f t="shared" si="7"/>
        <v>Bronze</v>
      </c>
      <c r="J150" t="str">
        <f t="shared" si="8"/>
        <v>Theresa Campbell</v>
      </c>
      <c r="K150" t="str">
        <f t="shared" si="6"/>
        <v>Theresa Campbell</v>
      </c>
      <c r="S150" s="10" t="s">
        <v>16</v>
      </c>
      <c r="T150">
        <v>31</v>
      </c>
    </row>
    <row r="151" spans="1:20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  <c r="I151" t="str">
        <f t="shared" si="7"/>
        <v>Platinum</v>
      </c>
      <c r="J151" t="str">
        <f t="shared" si="8"/>
        <v>Denise Griffin</v>
      </c>
      <c r="K151" t="str">
        <f t="shared" si="6"/>
        <v>Denise Griffin</v>
      </c>
      <c r="S151" s="11" t="s">
        <v>860</v>
      </c>
      <c r="T151">
        <v>31</v>
      </c>
    </row>
    <row r="152" spans="1:20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  <c r="I152" t="str">
        <f t="shared" si="7"/>
        <v>Gold</v>
      </c>
      <c r="J152" t="str">
        <f t="shared" si="8"/>
        <v>Stephanie Conway</v>
      </c>
      <c r="K152" t="str">
        <f t="shared" si="6"/>
        <v>Stephanie Conway</v>
      </c>
      <c r="S152" s="9" t="s">
        <v>780</v>
      </c>
      <c r="T152">
        <v>56</v>
      </c>
    </row>
    <row r="153" spans="1:20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  <c r="I153" t="str">
        <f t="shared" si="7"/>
        <v>Gold</v>
      </c>
      <c r="J153" t="str">
        <f t="shared" si="8"/>
        <v>Michael Davies</v>
      </c>
      <c r="K153" t="str">
        <f t="shared" si="6"/>
        <v>Michael Davies</v>
      </c>
      <c r="S153" s="10" t="s">
        <v>16</v>
      </c>
      <c r="T153">
        <v>56</v>
      </c>
    </row>
    <row r="154" spans="1:20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  <c r="I154" t="str">
        <f t="shared" si="7"/>
        <v>Platinum</v>
      </c>
      <c r="J154" t="str">
        <f t="shared" si="8"/>
        <v>Patrick Roberts</v>
      </c>
      <c r="K154" t="str">
        <f t="shared" si="6"/>
        <v>Patrick Roberts</v>
      </c>
      <c r="S154" s="11" t="s">
        <v>779</v>
      </c>
      <c r="T154">
        <v>56</v>
      </c>
    </row>
    <row r="155" spans="1:20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  <c r="I155" t="str">
        <f t="shared" si="7"/>
        <v>Bronze</v>
      </c>
      <c r="J155" t="str">
        <f t="shared" si="8"/>
        <v>Joseph Faulkner</v>
      </c>
      <c r="K155" t="str">
        <f t="shared" si="6"/>
        <v>Joseph Faulkner</v>
      </c>
      <c r="S155" s="9" t="s">
        <v>473</v>
      </c>
      <c r="T155">
        <v>32</v>
      </c>
    </row>
    <row r="156" spans="1:20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  <c r="I156" t="str">
        <f t="shared" si="7"/>
        <v>Gold</v>
      </c>
      <c r="J156" t="str">
        <f t="shared" si="8"/>
        <v>Julie Hale</v>
      </c>
      <c r="K156" t="str">
        <f t="shared" si="6"/>
        <v>Julie Hale</v>
      </c>
      <c r="S156" s="10" t="s">
        <v>9</v>
      </c>
      <c r="T156">
        <v>32</v>
      </c>
    </row>
    <row r="157" spans="1:20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  <c r="I157" t="str">
        <f t="shared" si="7"/>
        <v>Gold</v>
      </c>
      <c r="J157" t="str">
        <f t="shared" si="8"/>
        <v>Curtis Haynes</v>
      </c>
      <c r="K157" t="str">
        <f t="shared" si="6"/>
        <v>Curtis Haynes</v>
      </c>
      <c r="S157" s="11" t="s">
        <v>472</v>
      </c>
      <c r="T157">
        <v>32</v>
      </c>
    </row>
    <row r="158" spans="1:20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  <c r="I158" t="str">
        <f t="shared" si="7"/>
        <v>Bronze</v>
      </c>
      <c r="J158" t="str">
        <f t="shared" si="8"/>
        <v>Maria Sanchez</v>
      </c>
      <c r="K158" t="str">
        <f t="shared" si="6"/>
        <v>Maria Sanchez</v>
      </c>
      <c r="S158" s="9" t="s">
        <v>56</v>
      </c>
      <c r="T158">
        <v>28</v>
      </c>
    </row>
    <row r="159" spans="1:20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  <c r="I159" t="str">
        <f t="shared" si="7"/>
        <v>Platinum</v>
      </c>
      <c r="J159" t="str">
        <f t="shared" si="8"/>
        <v>Paul Zamora</v>
      </c>
      <c r="K159" t="str">
        <f t="shared" si="6"/>
        <v>Paul Zamora</v>
      </c>
      <c r="S159" s="10" t="s">
        <v>16</v>
      </c>
      <c r="T159">
        <v>28</v>
      </c>
    </row>
    <row r="160" spans="1:20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  <c r="I160" t="str">
        <f t="shared" si="7"/>
        <v>Bronze</v>
      </c>
      <c r="J160" t="str">
        <f t="shared" si="8"/>
        <v>Sean Powell</v>
      </c>
      <c r="K160" t="str">
        <f t="shared" si="6"/>
        <v>Sean Powell</v>
      </c>
      <c r="S160" s="11" t="s">
        <v>55</v>
      </c>
      <c r="T160">
        <v>28</v>
      </c>
    </row>
    <row r="161" spans="1:20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  <c r="I161" t="str">
        <f t="shared" si="7"/>
        <v>Gold</v>
      </c>
      <c r="J161" t="str">
        <f t="shared" si="8"/>
        <v>Brian Choi</v>
      </c>
      <c r="K161" t="str">
        <f t="shared" si="6"/>
        <v>Brian Choi</v>
      </c>
      <c r="S161" s="9" t="s">
        <v>90</v>
      </c>
      <c r="T161">
        <v>59</v>
      </c>
    </row>
    <row r="162" spans="1:20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  <c r="I162" t="str">
        <f t="shared" si="7"/>
        <v>Platinum</v>
      </c>
      <c r="J162" t="str">
        <f t="shared" si="8"/>
        <v>John Lawson</v>
      </c>
      <c r="K162" t="str">
        <f t="shared" si="6"/>
        <v>John Lawson</v>
      </c>
      <c r="S162" s="10" t="s">
        <v>9</v>
      </c>
      <c r="T162">
        <v>59</v>
      </c>
    </row>
    <row r="163" spans="1:20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  <c r="I163" t="str">
        <f t="shared" si="7"/>
        <v>Silver</v>
      </c>
      <c r="J163" t="str">
        <f t="shared" si="8"/>
        <v>Cynthia Morris</v>
      </c>
      <c r="K163" t="str">
        <f t="shared" si="6"/>
        <v>Cynthia Morris</v>
      </c>
      <c r="S163" s="11" t="s">
        <v>89</v>
      </c>
      <c r="T163">
        <v>59</v>
      </c>
    </row>
    <row r="164" spans="1:20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1538</v>
      </c>
      <c r="H164" t="s">
        <v>31</v>
      </c>
      <c r="I164" t="str">
        <f t="shared" si="7"/>
        <v>Silver</v>
      </c>
      <c r="J164" t="str">
        <f t="shared" si="8"/>
        <v>Mariah Brown</v>
      </c>
      <c r="K164" t="str">
        <f t="shared" si="6"/>
        <v>Mariah Brown</v>
      </c>
      <c r="S164" s="9" t="s">
        <v>1557</v>
      </c>
      <c r="T164">
        <v>42</v>
      </c>
    </row>
    <row r="165" spans="1:20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  <c r="I165" t="str">
        <f t="shared" si="7"/>
        <v>Bronze</v>
      </c>
      <c r="J165" t="str">
        <f t="shared" si="8"/>
        <v>Joseph Jones</v>
      </c>
      <c r="K165" t="str">
        <f t="shared" si="6"/>
        <v>Joseph Jones</v>
      </c>
      <c r="S165" s="10" t="s">
        <v>16</v>
      </c>
      <c r="T165">
        <v>42</v>
      </c>
    </row>
    <row r="166" spans="1:20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  <c r="I166" t="str">
        <f t="shared" si="7"/>
        <v>Silver</v>
      </c>
      <c r="J166" t="str">
        <f t="shared" si="8"/>
        <v>Daniel Rivas</v>
      </c>
      <c r="K166" t="str">
        <f t="shared" si="6"/>
        <v>Daniel Rivas</v>
      </c>
      <c r="S166" s="11" t="s">
        <v>1310</v>
      </c>
      <c r="T166">
        <v>42</v>
      </c>
    </row>
    <row r="167" spans="1:20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  <c r="I167" t="str">
        <f t="shared" si="7"/>
        <v>Platinum</v>
      </c>
      <c r="J167" t="str">
        <f t="shared" si="8"/>
        <v>Jason Wheeler</v>
      </c>
      <c r="K167" t="str">
        <f t="shared" si="6"/>
        <v>Jason Wheeler</v>
      </c>
      <c r="S167" s="9" t="s">
        <v>894</v>
      </c>
      <c r="T167">
        <v>59</v>
      </c>
    </row>
    <row r="168" spans="1:20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  <c r="I168" t="str">
        <f t="shared" si="7"/>
        <v>Silver</v>
      </c>
      <c r="J168" t="str">
        <f t="shared" si="8"/>
        <v>Patricia Gardner</v>
      </c>
      <c r="K168" t="str">
        <f t="shared" si="6"/>
        <v>Patricia Gardner</v>
      </c>
      <c r="S168" s="10" t="s">
        <v>9</v>
      </c>
      <c r="T168">
        <v>59</v>
      </c>
    </row>
    <row r="169" spans="1:20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  <c r="I169" t="str">
        <f t="shared" si="7"/>
        <v>Gold</v>
      </c>
      <c r="J169" t="str">
        <f t="shared" si="8"/>
        <v>Antonio Wade</v>
      </c>
      <c r="K169" t="str">
        <f t="shared" si="6"/>
        <v>Antonio Wade</v>
      </c>
      <c r="S169" s="11" t="s">
        <v>893</v>
      </c>
      <c r="T169">
        <v>59</v>
      </c>
    </row>
    <row r="170" spans="1:20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  <c r="I170" t="str">
        <f t="shared" si="7"/>
        <v>Platinum</v>
      </c>
      <c r="J170" t="str">
        <f t="shared" si="8"/>
        <v>Daniel Contreras</v>
      </c>
      <c r="K170" t="str">
        <f t="shared" si="6"/>
        <v>Daniel Contreras</v>
      </c>
      <c r="S170" s="9" t="s">
        <v>351</v>
      </c>
      <c r="T170">
        <v>24</v>
      </c>
    </row>
    <row r="171" spans="1:20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  <c r="I171" t="str">
        <f t="shared" si="7"/>
        <v>Bronze</v>
      </c>
      <c r="J171" t="str">
        <f t="shared" si="8"/>
        <v>Steve Mclaughlin</v>
      </c>
      <c r="K171" t="str">
        <f t="shared" si="6"/>
        <v>Steve Mclaughlin</v>
      </c>
      <c r="S171" s="10" t="s">
        <v>9</v>
      </c>
      <c r="T171">
        <v>24</v>
      </c>
    </row>
    <row r="172" spans="1:20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  <c r="I172" t="str">
        <f t="shared" si="7"/>
        <v>Gold</v>
      </c>
      <c r="J172" t="str">
        <f t="shared" si="8"/>
        <v>Christopher Garcia Dds</v>
      </c>
      <c r="K172" t="str">
        <f t="shared" si="6"/>
        <v>Christopher Garcia Dds</v>
      </c>
      <c r="S172" s="11" t="s">
        <v>350</v>
      </c>
      <c r="T172">
        <v>24</v>
      </c>
    </row>
    <row r="173" spans="1:20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  <c r="I173" t="str">
        <f t="shared" si="7"/>
        <v>Platinum</v>
      </c>
      <c r="J173" t="str">
        <f t="shared" si="8"/>
        <v>Amy Wilson</v>
      </c>
      <c r="K173" t="str">
        <f t="shared" si="6"/>
        <v>Amy Wilson</v>
      </c>
      <c r="S173" s="9" t="s">
        <v>900</v>
      </c>
      <c r="T173">
        <v>54</v>
      </c>
    </row>
    <row r="174" spans="1:20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  <c r="I174" t="str">
        <f t="shared" si="7"/>
        <v>Bronze</v>
      </c>
      <c r="J174" t="str">
        <f t="shared" si="8"/>
        <v>Thomas Rhodes</v>
      </c>
      <c r="K174" t="str">
        <f t="shared" si="6"/>
        <v>Thomas Rhodes</v>
      </c>
      <c r="S174" s="10" t="s">
        <v>16</v>
      </c>
      <c r="T174">
        <v>54</v>
      </c>
    </row>
    <row r="175" spans="1:20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1539</v>
      </c>
      <c r="H175" t="s">
        <v>19</v>
      </c>
      <c r="I175" t="str">
        <f t="shared" si="7"/>
        <v>Platinum</v>
      </c>
      <c r="J175" t="str">
        <f t="shared" si="8"/>
        <v>Teresa Stokes</v>
      </c>
      <c r="K175" t="str">
        <f t="shared" si="6"/>
        <v>Teresa Stokes</v>
      </c>
      <c r="S175" s="11" t="s">
        <v>899</v>
      </c>
      <c r="T175">
        <v>54</v>
      </c>
    </row>
    <row r="176" spans="1:20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  <c r="I176" t="str">
        <f t="shared" si="7"/>
        <v>Gold</v>
      </c>
      <c r="J176" t="str">
        <f t="shared" si="8"/>
        <v>Maria Davis</v>
      </c>
      <c r="K176" t="str">
        <f t="shared" si="6"/>
        <v>Maria Davis</v>
      </c>
      <c r="S176" s="9" t="s">
        <v>1482</v>
      </c>
      <c r="T176">
        <v>21</v>
      </c>
    </row>
    <row r="177" spans="1:20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  <c r="I177" t="str">
        <f t="shared" si="7"/>
        <v>Platinum</v>
      </c>
      <c r="J177" t="str">
        <f t="shared" si="8"/>
        <v>Michelle Rogers</v>
      </c>
      <c r="K177" t="str">
        <f t="shared" si="6"/>
        <v>Michelle Rogers</v>
      </c>
      <c r="S177" s="10" t="s">
        <v>9</v>
      </c>
      <c r="T177">
        <v>21</v>
      </c>
    </row>
    <row r="178" spans="1:20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  <c r="I178" t="str">
        <f t="shared" si="7"/>
        <v>Silver</v>
      </c>
      <c r="J178" t="str">
        <f t="shared" si="8"/>
        <v>John Bradford</v>
      </c>
      <c r="K178" t="str">
        <f t="shared" si="6"/>
        <v>John Bradford</v>
      </c>
      <c r="S178" s="11" t="s">
        <v>1481</v>
      </c>
      <c r="T178">
        <v>21</v>
      </c>
    </row>
    <row r="179" spans="1:20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  <c r="I179" t="str">
        <f t="shared" si="7"/>
        <v>Platinum</v>
      </c>
      <c r="J179" t="str">
        <f t="shared" si="8"/>
        <v>Curtis Lam</v>
      </c>
      <c r="K179" t="str">
        <f t="shared" si="6"/>
        <v>Curtis Lam</v>
      </c>
      <c r="S179" s="9" t="s">
        <v>1320</v>
      </c>
      <c r="T179">
        <v>40</v>
      </c>
    </row>
    <row r="180" spans="1:20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  <c r="I180" t="str">
        <f t="shared" si="7"/>
        <v>Bronze</v>
      </c>
      <c r="J180" t="str">
        <f t="shared" si="8"/>
        <v>Michelle Myers</v>
      </c>
      <c r="K180" t="str">
        <f t="shared" si="6"/>
        <v>Michelle Myers</v>
      </c>
      <c r="S180" s="10" t="s">
        <v>9</v>
      </c>
      <c r="T180">
        <v>40</v>
      </c>
    </row>
    <row r="181" spans="1:20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  <c r="I181" t="str">
        <f t="shared" si="7"/>
        <v>Silver</v>
      </c>
      <c r="J181" t="str">
        <f t="shared" si="8"/>
        <v>Nicholas Bradshaw</v>
      </c>
      <c r="K181" t="str">
        <f t="shared" si="6"/>
        <v>Nicholas Bradshaw</v>
      </c>
      <c r="S181" s="11" t="s">
        <v>1319</v>
      </c>
      <c r="T181">
        <v>40</v>
      </c>
    </row>
    <row r="182" spans="1:20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  <c r="I182" t="str">
        <f t="shared" si="7"/>
        <v>Bronze</v>
      </c>
      <c r="J182" t="str">
        <f t="shared" si="8"/>
        <v>Wesley Thompson</v>
      </c>
      <c r="K182" t="str">
        <f t="shared" si="6"/>
        <v>Wesley Thompson</v>
      </c>
      <c r="S182" s="9" t="s">
        <v>491</v>
      </c>
      <c r="T182">
        <v>46</v>
      </c>
    </row>
    <row r="183" spans="1:20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  <c r="I183" t="str">
        <f t="shared" si="7"/>
        <v>Bronze</v>
      </c>
      <c r="J183" t="str">
        <f t="shared" si="8"/>
        <v>Erin Ward</v>
      </c>
      <c r="K183" t="str">
        <f t="shared" si="6"/>
        <v>Erin Ward</v>
      </c>
      <c r="S183" s="10" t="s">
        <v>9</v>
      </c>
      <c r="T183">
        <v>46</v>
      </c>
    </row>
    <row r="184" spans="1:20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  <c r="I184" t="str">
        <f t="shared" si="7"/>
        <v>Silver</v>
      </c>
      <c r="J184" t="str">
        <f t="shared" si="8"/>
        <v>Melissa Hamilton</v>
      </c>
      <c r="K184" t="str">
        <f t="shared" si="6"/>
        <v>Melissa Hamilton</v>
      </c>
      <c r="S184" s="11" t="s">
        <v>490</v>
      </c>
      <c r="T184">
        <v>46</v>
      </c>
    </row>
    <row r="185" spans="1:20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  <c r="I185" t="str">
        <f t="shared" si="7"/>
        <v>Platinum</v>
      </c>
      <c r="J185" t="str">
        <f t="shared" si="8"/>
        <v>Mario Jacobs</v>
      </c>
      <c r="K185" t="str">
        <f t="shared" si="6"/>
        <v>Mario Jacobs</v>
      </c>
      <c r="S185" s="9" t="s">
        <v>1113</v>
      </c>
      <c r="T185">
        <v>20</v>
      </c>
    </row>
    <row r="186" spans="1:20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  <c r="I186" t="str">
        <f t="shared" si="7"/>
        <v>Silver</v>
      </c>
      <c r="J186" t="str">
        <f t="shared" si="8"/>
        <v>Leonard Cochran</v>
      </c>
      <c r="K186" t="str">
        <f t="shared" si="6"/>
        <v>Leonard Cochran</v>
      </c>
      <c r="S186" s="10" t="s">
        <v>9</v>
      </c>
      <c r="T186">
        <v>20</v>
      </c>
    </row>
    <row r="187" spans="1:20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  <c r="I187" t="str">
        <f t="shared" si="7"/>
        <v>Platinum</v>
      </c>
      <c r="J187" t="str">
        <f t="shared" si="8"/>
        <v>Brent Rivas</v>
      </c>
      <c r="K187" t="str">
        <f t="shared" si="6"/>
        <v>Brent Rivas</v>
      </c>
      <c r="S187" s="11" t="s">
        <v>1112</v>
      </c>
      <c r="T187">
        <v>20</v>
      </c>
    </row>
    <row r="188" spans="1:20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  <c r="I188" t="str">
        <f t="shared" si="7"/>
        <v>Silver</v>
      </c>
      <c r="J188" t="str">
        <f t="shared" si="8"/>
        <v>Jennifer Pruitt</v>
      </c>
      <c r="K188" t="str">
        <f t="shared" si="6"/>
        <v>Jennifer Pruitt</v>
      </c>
      <c r="S188" s="9" t="s">
        <v>485</v>
      </c>
      <c r="T188">
        <v>46</v>
      </c>
    </row>
    <row r="189" spans="1:20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  <c r="I189" t="str">
        <f t="shared" si="7"/>
        <v>Platinum</v>
      </c>
      <c r="J189" t="str">
        <f t="shared" si="8"/>
        <v>Dr. Suzanne Bullock</v>
      </c>
      <c r="K189" t="str">
        <f t="shared" si="6"/>
        <v>Dr. Suzanne Bullock</v>
      </c>
      <c r="S189" s="10" t="s">
        <v>9</v>
      </c>
      <c r="T189">
        <v>46</v>
      </c>
    </row>
    <row r="190" spans="1:20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  <c r="I190" t="str">
        <f t="shared" si="7"/>
        <v>Silver</v>
      </c>
      <c r="J190" t="str">
        <f t="shared" si="8"/>
        <v>Kimberly Brooks</v>
      </c>
      <c r="K190" t="str">
        <f t="shared" si="6"/>
        <v>Kimberly Brooks</v>
      </c>
      <c r="S190" s="11" t="s">
        <v>484</v>
      </c>
      <c r="T190">
        <v>46</v>
      </c>
    </row>
    <row r="191" spans="1:20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  <c r="I191" t="str">
        <f t="shared" si="7"/>
        <v>Gold</v>
      </c>
      <c r="J191" t="str">
        <f t="shared" si="8"/>
        <v>Daniel Austin</v>
      </c>
      <c r="K191" t="str">
        <f t="shared" si="6"/>
        <v>Daniel Austin</v>
      </c>
      <c r="S191" s="9" t="s">
        <v>652</v>
      </c>
      <c r="T191">
        <v>46</v>
      </c>
    </row>
    <row r="192" spans="1:20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  <c r="I192" t="str">
        <f t="shared" si="7"/>
        <v>Bronze</v>
      </c>
      <c r="J192" t="str">
        <f t="shared" si="8"/>
        <v>Christopher Stewart</v>
      </c>
      <c r="K192" t="str">
        <f t="shared" si="6"/>
        <v>Christopher Stewart</v>
      </c>
      <c r="S192" s="10" t="s">
        <v>9</v>
      </c>
      <c r="T192">
        <v>46</v>
      </c>
    </row>
    <row r="193" spans="1:20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  <c r="I193" t="str">
        <f t="shared" si="7"/>
        <v>Bronze</v>
      </c>
      <c r="J193" t="str">
        <f t="shared" si="8"/>
        <v>Todd Poole</v>
      </c>
      <c r="K193" t="str">
        <f t="shared" si="6"/>
        <v>Todd Poole</v>
      </c>
      <c r="S193" s="11" t="s">
        <v>651</v>
      </c>
      <c r="T193">
        <v>46</v>
      </c>
    </row>
    <row r="194" spans="1:20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  <c r="I194" t="str">
        <f t="shared" si="7"/>
        <v>Gold</v>
      </c>
      <c r="J194" t="str">
        <f t="shared" si="8"/>
        <v>Jacob Wood</v>
      </c>
      <c r="K194" t="str">
        <f t="shared" ref="K194:K257" si="9">TRIM(J194)</f>
        <v>Jacob Wood</v>
      </c>
      <c r="S194" s="9" t="s">
        <v>834</v>
      </c>
      <c r="T194">
        <v>27</v>
      </c>
    </row>
    <row r="195" spans="1:20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  <c r="I195" t="str">
        <f t="shared" ref="I195:I258" si="10">IF(ISBLANK(H195),"Unknown",H195)</f>
        <v>Gold</v>
      </c>
      <c r="J195" t="str">
        <f t="shared" ref="J195:J258" si="11">PROPER(B195)</f>
        <v>David Roberts</v>
      </c>
      <c r="K195" t="str">
        <f t="shared" si="9"/>
        <v>David Roberts</v>
      </c>
      <c r="S195" s="10" t="s">
        <v>16</v>
      </c>
      <c r="T195">
        <v>27</v>
      </c>
    </row>
    <row r="196" spans="1:20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  <c r="I196" t="str">
        <f t="shared" si="10"/>
        <v>Gold</v>
      </c>
      <c r="J196" t="str">
        <f t="shared" si="11"/>
        <v>Ashley Ferguson</v>
      </c>
      <c r="K196" t="str">
        <f t="shared" si="9"/>
        <v>Ashley Ferguson</v>
      </c>
      <c r="S196" s="11" t="s">
        <v>833</v>
      </c>
      <c r="T196">
        <v>27</v>
      </c>
    </row>
    <row r="197" spans="1:20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  <c r="I197" t="str">
        <f t="shared" si="10"/>
        <v>Silver</v>
      </c>
      <c r="J197" t="str">
        <f t="shared" si="11"/>
        <v>Anthony Garcia</v>
      </c>
      <c r="K197" t="str">
        <f t="shared" si="9"/>
        <v>Anthony Garcia</v>
      </c>
      <c r="S197" s="9" t="s">
        <v>1060</v>
      </c>
      <c r="T197">
        <v>40</v>
      </c>
    </row>
    <row r="198" spans="1:20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  <c r="I198" t="str">
        <f t="shared" si="10"/>
        <v>Platinum</v>
      </c>
      <c r="J198" t="str">
        <f t="shared" si="11"/>
        <v>Megan Greer</v>
      </c>
      <c r="K198" t="str">
        <f t="shared" si="9"/>
        <v>Megan Greer</v>
      </c>
      <c r="S198" s="10" t="s">
        <v>16</v>
      </c>
      <c r="T198">
        <v>40</v>
      </c>
    </row>
    <row r="199" spans="1:20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  <c r="I199" t="str">
        <f t="shared" si="10"/>
        <v>Platinum</v>
      </c>
      <c r="J199" t="str">
        <f t="shared" si="11"/>
        <v>Andrea Jacobs</v>
      </c>
      <c r="K199" t="str">
        <f t="shared" si="9"/>
        <v>Andrea Jacobs</v>
      </c>
      <c r="S199" s="11" t="s">
        <v>1059</v>
      </c>
      <c r="T199">
        <v>40</v>
      </c>
    </row>
    <row r="200" spans="1:20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  <c r="I200" t="str">
        <f t="shared" si="10"/>
        <v>Bronze</v>
      </c>
      <c r="J200" t="str">
        <f t="shared" si="11"/>
        <v>Wanda Snyder</v>
      </c>
      <c r="K200" t="str">
        <f t="shared" si="9"/>
        <v>Wanda Snyder</v>
      </c>
      <c r="S200" s="9" t="s">
        <v>28</v>
      </c>
      <c r="T200">
        <v>64</v>
      </c>
    </row>
    <row r="201" spans="1:20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  <c r="I201" t="str">
        <f t="shared" si="10"/>
        <v>Bronze</v>
      </c>
      <c r="J201" t="str">
        <f t="shared" si="11"/>
        <v>Carmen Price</v>
      </c>
      <c r="K201" t="str">
        <f t="shared" si="9"/>
        <v>Carmen Price</v>
      </c>
      <c r="S201" s="10" t="s">
        <v>16</v>
      </c>
      <c r="T201">
        <v>64</v>
      </c>
    </row>
    <row r="202" spans="1:20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  <c r="I202" t="str">
        <f t="shared" si="10"/>
        <v>Platinum</v>
      </c>
      <c r="J202" t="str">
        <f t="shared" si="11"/>
        <v>Anna Perez</v>
      </c>
      <c r="K202" t="str">
        <f t="shared" si="9"/>
        <v>Anna Perez</v>
      </c>
      <c r="S202" s="11" t="s">
        <v>27</v>
      </c>
      <c r="T202">
        <v>64</v>
      </c>
    </row>
    <row r="203" spans="1:20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  <c r="I203" t="str">
        <f t="shared" si="10"/>
        <v>Bronze</v>
      </c>
      <c r="J203" t="str">
        <f t="shared" si="11"/>
        <v>Mary Boyd</v>
      </c>
      <c r="K203" t="str">
        <f t="shared" si="9"/>
        <v>Mary Boyd</v>
      </c>
      <c r="S203" s="9" t="s">
        <v>736</v>
      </c>
      <c r="T203">
        <v>52</v>
      </c>
    </row>
    <row r="204" spans="1:20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  <c r="I204" t="str">
        <f t="shared" si="10"/>
        <v>Platinum</v>
      </c>
      <c r="J204" t="str">
        <f t="shared" si="11"/>
        <v>Christina Garcia</v>
      </c>
      <c r="K204" t="str">
        <f t="shared" si="9"/>
        <v>Christina Garcia</v>
      </c>
      <c r="S204" s="10" t="s">
        <v>16</v>
      </c>
      <c r="T204">
        <v>52</v>
      </c>
    </row>
    <row r="205" spans="1:20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  <c r="I205" t="str">
        <f t="shared" si="10"/>
        <v>Platinum</v>
      </c>
      <c r="J205" t="str">
        <f t="shared" si="11"/>
        <v>Sarah Brady</v>
      </c>
      <c r="K205" t="str">
        <f t="shared" si="9"/>
        <v>Sarah Brady</v>
      </c>
      <c r="S205" s="11" t="s">
        <v>735</v>
      </c>
      <c r="T205">
        <v>52</v>
      </c>
    </row>
    <row r="206" spans="1:20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  <c r="I206" t="str">
        <f t="shared" si="10"/>
        <v>Platinum</v>
      </c>
      <c r="J206" t="str">
        <f t="shared" si="11"/>
        <v>Tiffany Herrera</v>
      </c>
      <c r="K206" t="str">
        <f t="shared" si="9"/>
        <v>Tiffany Herrera</v>
      </c>
      <c r="S206" s="9" t="s">
        <v>1006</v>
      </c>
      <c r="T206">
        <v>54</v>
      </c>
    </row>
    <row r="207" spans="1:20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  <c r="I207" t="str">
        <f t="shared" si="10"/>
        <v>Gold</v>
      </c>
      <c r="J207" t="str">
        <f t="shared" si="11"/>
        <v>Michelle Carpenter</v>
      </c>
      <c r="K207" t="str">
        <f t="shared" si="9"/>
        <v>Michelle Carpenter</v>
      </c>
      <c r="S207" s="10" t="s">
        <v>9</v>
      </c>
      <c r="T207">
        <v>54</v>
      </c>
    </row>
    <row r="208" spans="1:20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  <c r="I208" t="str">
        <f t="shared" si="10"/>
        <v>Silver</v>
      </c>
      <c r="J208" t="str">
        <f t="shared" si="11"/>
        <v>Ronald Jones</v>
      </c>
      <c r="K208" t="str">
        <f t="shared" si="9"/>
        <v>Ronald Jones</v>
      </c>
      <c r="S208" s="11" t="s">
        <v>1005</v>
      </c>
      <c r="T208">
        <v>54</v>
      </c>
    </row>
    <row r="209" spans="1:20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  <c r="I209" t="str">
        <f t="shared" si="10"/>
        <v>Bronze</v>
      </c>
      <c r="J209" t="str">
        <f t="shared" si="11"/>
        <v>Jacqueline Pacheco</v>
      </c>
      <c r="K209" t="str">
        <f t="shared" si="9"/>
        <v>Jacqueline Pacheco</v>
      </c>
      <c r="S209" s="9" t="s">
        <v>1253</v>
      </c>
      <c r="T209">
        <v>31</v>
      </c>
    </row>
    <row r="210" spans="1:20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  <c r="I210" t="str">
        <f t="shared" si="10"/>
        <v>Platinum</v>
      </c>
      <c r="J210" t="str">
        <f t="shared" si="11"/>
        <v>John Perez</v>
      </c>
      <c r="K210" t="str">
        <f t="shared" si="9"/>
        <v>John Perez</v>
      </c>
      <c r="S210" s="10" t="s">
        <v>9</v>
      </c>
      <c r="T210">
        <v>31</v>
      </c>
    </row>
    <row r="211" spans="1:20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  <c r="I211" t="str">
        <f t="shared" si="10"/>
        <v>Platinum</v>
      </c>
      <c r="J211" t="str">
        <f t="shared" si="11"/>
        <v>Joan Johnson</v>
      </c>
      <c r="K211" t="str">
        <f t="shared" si="9"/>
        <v>Joan Johnson</v>
      </c>
      <c r="S211" s="11" t="s">
        <v>1252</v>
      </c>
      <c r="T211">
        <v>31</v>
      </c>
    </row>
    <row r="212" spans="1:20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  <c r="I212" t="str">
        <f t="shared" si="10"/>
        <v>Silver</v>
      </c>
      <c r="J212" t="str">
        <f t="shared" si="11"/>
        <v>Antonio Jones</v>
      </c>
      <c r="K212" t="str">
        <f t="shared" si="9"/>
        <v>Antonio Jones</v>
      </c>
      <c r="S212" s="9" t="s">
        <v>1179</v>
      </c>
      <c r="T212">
        <v>39</v>
      </c>
    </row>
    <row r="213" spans="1:20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  <c r="I213" t="str">
        <f t="shared" si="10"/>
        <v>Silver</v>
      </c>
      <c r="J213" t="str">
        <f t="shared" si="11"/>
        <v>Rodney Huffman</v>
      </c>
      <c r="K213" t="str">
        <f t="shared" si="9"/>
        <v>Rodney Huffman</v>
      </c>
      <c r="S213" s="10" t="s">
        <v>16</v>
      </c>
      <c r="T213">
        <v>39</v>
      </c>
    </row>
    <row r="214" spans="1:20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  <c r="I214" t="str">
        <f t="shared" si="10"/>
        <v>Platinum</v>
      </c>
      <c r="J214" t="str">
        <f t="shared" si="11"/>
        <v>Blake Harrison</v>
      </c>
      <c r="K214" t="str">
        <f t="shared" si="9"/>
        <v>Blake Harrison</v>
      </c>
      <c r="S214" s="11" t="s">
        <v>1178</v>
      </c>
      <c r="T214">
        <v>39</v>
      </c>
    </row>
    <row r="215" spans="1:20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  <c r="I215" t="str">
        <f t="shared" si="10"/>
        <v>Platinum</v>
      </c>
      <c r="J215" t="str">
        <f t="shared" si="11"/>
        <v>Stuart Johnson</v>
      </c>
      <c r="K215" t="str">
        <f t="shared" si="9"/>
        <v>Stuart Johnson</v>
      </c>
      <c r="S215" s="9" t="s">
        <v>1099</v>
      </c>
      <c r="T215">
        <v>26</v>
      </c>
    </row>
    <row r="216" spans="1:20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  <c r="I216" t="str">
        <f t="shared" si="10"/>
        <v>Gold</v>
      </c>
      <c r="J216" t="str">
        <f t="shared" si="11"/>
        <v>Eric Todd</v>
      </c>
      <c r="K216" t="str">
        <f t="shared" si="9"/>
        <v>Eric Todd</v>
      </c>
      <c r="S216" s="10" t="s">
        <v>9</v>
      </c>
      <c r="T216">
        <v>26</v>
      </c>
    </row>
    <row r="217" spans="1:20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  <c r="I217" t="str">
        <f t="shared" si="10"/>
        <v>Gold</v>
      </c>
      <c r="J217" t="str">
        <f t="shared" si="11"/>
        <v>Steve Medina</v>
      </c>
      <c r="K217" t="str">
        <f t="shared" si="9"/>
        <v>Steve Medina</v>
      </c>
      <c r="S217" s="11" t="s">
        <v>1098</v>
      </c>
      <c r="T217">
        <v>26</v>
      </c>
    </row>
    <row r="218" spans="1:20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  <c r="I218" t="str">
        <f t="shared" si="10"/>
        <v>Platinum</v>
      </c>
      <c r="J218" t="str">
        <f t="shared" si="11"/>
        <v>Kathryn Garcia</v>
      </c>
      <c r="K218" t="str">
        <f t="shared" si="9"/>
        <v>Kathryn Garcia</v>
      </c>
      <c r="S218" s="9" t="s">
        <v>1560</v>
      </c>
      <c r="T218">
        <v>62</v>
      </c>
    </row>
    <row r="219" spans="1:20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  <c r="I219" t="str">
        <f t="shared" si="10"/>
        <v>Silver</v>
      </c>
      <c r="J219" t="str">
        <f t="shared" si="11"/>
        <v>Kathy Copeland</v>
      </c>
      <c r="K219" t="str">
        <f t="shared" si="9"/>
        <v>Kathy Copeland</v>
      </c>
      <c r="S219" s="10" t="s">
        <v>16</v>
      </c>
      <c r="T219">
        <v>62</v>
      </c>
    </row>
    <row r="220" spans="1:20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  <c r="I220" t="str">
        <f t="shared" si="10"/>
        <v>Platinum</v>
      </c>
      <c r="J220" t="str">
        <f t="shared" si="11"/>
        <v>Julia Jackson</v>
      </c>
      <c r="K220" t="str">
        <f t="shared" si="9"/>
        <v>Julia Jackson</v>
      </c>
      <c r="S220" s="11" t="s">
        <v>1238</v>
      </c>
      <c r="T220">
        <v>62</v>
      </c>
    </row>
    <row r="221" spans="1:20" x14ac:dyDescent="0.25">
      <c r="A221" t="s">
        <v>711</v>
      </c>
      <c r="B221" t="s">
        <v>712</v>
      </c>
      <c r="C221">
        <v>47</v>
      </c>
      <c r="D221" t="s">
        <v>16</v>
      </c>
      <c r="E221" t="s">
        <v>1541</v>
      </c>
      <c r="F221" t="s">
        <v>88</v>
      </c>
      <c r="G221" t="s">
        <v>12</v>
      </c>
      <c r="H221" t="s">
        <v>13</v>
      </c>
      <c r="I221" t="str">
        <f t="shared" si="10"/>
        <v>Gold</v>
      </c>
      <c r="J221" t="str">
        <f t="shared" si="11"/>
        <v>Jordan Wells</v>
      </c>
      <c r="K221" t="str">
        <f t="shared" si="9"/>
        <v>Jordan Wells</v>
      </c>
      <c r="S221" s="9" t="s">
        <v>1564</v>
      </c>
      <c r="T221">
        <v>52</v>
      </c>
    </row>
    <row r="222" spans="1:20" x14ac:dyDescent="0.25">
      <c r="A222" t="s">
        <v>713</v>
      </c>
      <c r="B222" t="s">
        <v>714</v>
      </c>
      <c r="C222">
        <v>50</v>
      </c>
      <c r="D222" t="s">
        <v>16</v>
      </c>
      <c r="E222" t="s">
        <v>1540</v>
      </c>
      <c r="F222" t="s">
        <v>715</v>
      </c>
      <c r="G222" t="s">
        <v>1539</v>
      </c>
      <c r="H222" t="s">
        <v>26</v>
      </c>
      <c r="I222" t="str">
        <f t="shared" si="10"/>
        <v>Bronze</v>
      </c>
      <c r="J222" t="str">
        <f t="shared" si="11"/>
        <v>George Davis</v>
      </c>
      <c r="K222" t="str">
        <f t="shared" si="9"/>
        <v>George Davis</v>
      </c>
      <c r="S222" s="10" t="s">
        <v>16</v>
      </c>
      <c r="T222">
        <v>52</v>
      </c>
    </row>
    <row r="223" spans="1:20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  <c r="I223" t="str">
        <f t="shared" si="10"/>
        <v>Platinum</v>
      </c>
      <c r="J223" t="str">
        <f t="shared" si="11"/>
        <v>Lisa Young</v>
      </c>
      <c r="K223" t="str">
        <f t="shared" si="9"/>
        <v>Lisa Young</v>
      </c>
      <c r="S223" s="11" t="s">
        <v>920</v>
      </c>
      <c r="T223">
        <v>52</v>
      </c>
    </row>
    <row r="224" spans="1:20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  <c r="I224" t="str">
        <f t="shared" si="10"/>
        <v>Platinum</v>
      </c>
      <c r="J224" t="str">
        <f t="shared" si="11"/>
        <v>Alejandro Doyle</v>
      </c>
      <c r="K224" t="str">
        <f t="shared" si="9"/>
        <v>Alejandro Doyle</v>
      </c>
      <c r="S224" s="9" t="s">
        <v>1375</v>
      </c>
      <c r="T224">
        <v>19</v>
      </c>
    </row>
    <row r="225" spans="1:20" x14ac:dyDescent="0.25">
      <c r="A225" t="s">
        <v>722</v>
      </c>
      <c r="B225" t="s">
        <v>723</v>
      </c>
      <c r="C225">
        <v>50</v>
      </c>
      <c r="D225" t="s">
        <v>9</v>
      </c>
      <c r="E225" t="s">
        <v>1542</v>
      </c>
      <c r="F225" t="s">
        <v>267</v>
      </c>
      <c r="G225" t="s">
        <v>12</v>
      </c>
      <c r="H225" t="s">
        <v>19</v>
      </c>
      <c r="I225" t="str">
        <f t="shared" si="10"/>
        <v>Platinum</v>
      </c>
      <c r="J225" t="str">
        <f t="shared" si="11"/>
        <v>Robert Harris</v>
      </c>
      <c r="K225" t="str">
        <f t="shared" si="9"/>
        <v>Robert Harris</v>
      </c>
      <c r="S225" s="10" t="s">
        <v>9</v>
      </c>
      <c r="T225">
        <v>19</v>
      </c>
    </row>
    <row r="226" spans="1:20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  <c r="I226" t="str">
        <f t="shared" si="10"/>
        <v>Silver</v>
      </c>
      <c r="J226" t="str">
        <f t="shared" si="11"/>
        <v>Anthony Morgan</v>
      </c>
      <c r="K226" t="str">
        <f t="shared" si="9"/>
        <v>Anthony Morgan</v>
      </c>
      <c r="S226" s="11" t="s">
        <v>1374</v>
      </c>
      <c r="T226">
        <v>19</v>
      </c>
    </row>
    <row r="227" spans="1:20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  <c r="I227" t="str">
        <f t="shared" si="10"/>
        <v>Platinum</v>
      </c>
      <c r="J227" t="str">
        <f t="shared" si="11"/>
        <v>Elizabeth Stanley</v>
      </c>
      <c r="K227" t="str">
        <f t="shared" si="9"/>
        <v>Elizabeth Stanley</v>
      </c>
      <c r="S227" s="9" t="s">
        <v>219</v>
      </c>
      <c r="T227">
        <v>51</v>
      </c>
    </row>
    <row r="228" spans="1:20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  <c r="I228" t="str">
        <f t="shared" si="10"/>
        <v>Gold</v>
      </c>
      <c r="J228" t="str">
        <f t="shared" si="11"/>
        <v>Alexis Castaneda</v>
      </c>
      <c r="K228" t="str">
        <f t="shared" si="9"/>
        <v>Alexis Castaneda</v>
      </c>
      <c r="S228" s="10" t="s">
        <v>9</v>
      </c>
      <c r="T228">
        <v>51</v>
      </c>
    </row>
    <row r="229" spans="1:20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  <c r="I229" t="str">
        <f t="shared" si="10"/>
        <v>Gold</v>
      </c>
      <c r="J229" t="str">
        <f t="shared" si="11"/>
        <v>Gregory Pham</v>
      </c>
      <c r="K229" t="str">
        <f t="shared" si="9"/>
        <v>Gregory Pham</v>
      </c>
      <c r="S229" s="11" t="s">
        <v>218</v>
      </c>
      <c r="T229">
        <v>51</v>
      </c>
    </row>
    <row r="230" spans="1:20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  <c r="I230" t="str">
        <f t="shared" si="10"/>
        <v>Gold</v>
      </c>
      <c r="J230" t="str">
        <f t="shared" si="11"/>
        <v>Casey Flores</v>
      </c>
      <c r="K230" t="str">
        <f t="shared" si="9"/>
        <v>Casey Flores</v>
      </c>
      <c r="S230" s="9" t="s">
        <v>1140</v>
      </c>
      <c r="T230">
        <v>58</v>
      </c>
    </row>
    <row r="231" spans="1:20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  <c r="I231" t="str">
        <f t="shared" si="10"/>
        <v>Bronze</v>
      </c>
      <c r="J231" t="str">
        <f t="shared" si="11"/>
        <v>Tanner Thompson</v>
      </c>
      <c r="K231" t="str">
        <f t="shared" si="9"/>
        <v>Tanner Thompson</v>
      </c>
      <c r="S231" s="10" t="s">
        <v>9</v>
      </c>
      <c r="T231">
        <v>58</v>
      </c>
    </row>
    <row r="232" spans="1:20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  <c r="I232" t="str">
        <f t="shared" si="10"/>
        <v>Bronze</v>
      </c>
      <c r="J232" t="str">
        <f t="shared" si="11"/>
        <v>Timothy Sanders</v>
      </c>
      <c r="K232" t="str">
        <f t="shared" si="9"/>
        <v>Timothy Sanders</v>
      </c>
      <c r="S232" s="11" t="s">
        <v>1139</v>
      </c>
      <c r="T232">
        <v>58</v>
      </c>
    </row>
    <row r="233" spans="1:20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  <c r="I233" t="str">
        <f t="shared" si="10"/>
        <v>Bronze</v>
      </c>
      <c r="J233" t="str">
        <f t="shared" si="11"/>
        <v>Timothy Juarez</v>
      </c>
      <c r="K233" t="str">
        <f t="shared" si="9"/>
        <v>Timothy Juarez</v>
      </c>
      <c r="S233" s="9" t="s">
        <v>661</v>
      </c>
      <c r="T233">
        <v>37</v>
      </c>
    </row>
    <row r="234" spans="1:20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  <c r="I234" t="str">
        <f t="shared" si="10"/>
        <v>Platinum</v>
      </c>
      <c r="J234" t="str">
        <f t="shared" si="11"/>
        <v>Christy Hill</v>
      </c>
      <c r="K234" t="str">
        <f t="shared" si="9"/>
        <v>Christy Hill</v>
      </c>
      <c r="S234" s="10" t="s">
        <v>16</v>
      </c>
      <c r="T234">
        <v>37</v>
      </c>
    </row>
    <row r="235" spans="1:20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  <c r="I235" t="str">
        <f t="shared" si="10"/>
        <v>Silver</v>
      </c>
      <c r="J235" t="str">
        <f t="shared" si="11"/>
        <v>Michelle Gonzalez</v>
      </c>
      <c r="K235" t="str">
        <f t="shared" si="9"/>
        <v>Michelle Gonzalez</v>
      </c>
      <c r="S235" s="11" t="s">
        <v>660</v>
      </c>
      <c r="T235">
        <v>37</v>
      </c>
    </row>
    <row r="236" spans="1:20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  <c r="I236" t="str">
        <f t="shared" si="10"/>
        <v>Gold</v>
      </c>
      <c r="J236" t="str">
        <f t="shared" si="11"/>
        <v>Nathaniel Hill</v>
      </c>
      <c r="K236" t="str">
        <f t="shared" si="9"/>
        <v>Nathaniel Hill</v>
      </c>
      <c r="S236" s="9" t="s">
        <v>1412</v>
      </c>
      <c r="T236">
        <v>59</v>
      </c>
    </row>
    <row r="237" spans="1:20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  <c r="I237" t="str">
        <f t="shared" si="10"/>
        <v>Bronze</v>
      </c>
      <c r="J237" t="str">
        <f t="shared" si="11"/>
        <v>Jon Ortiz</v>
      </c>
      <c r="K237" t="str">
        <f t="shared" si="9"/>
        <v>Jon Ortiz</v>
      </c>
      <c r="S237" s="10" t="s">
        <v>9</v>
      </c>
      <c r="T237">
        <v>59</v>
      </c>
    </row>
    <row r="238" spans="1:20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  <c r="I238" t="str">
        <f t="shared" si="10"/>
        <v>Bronze</v>
      </c>
      <c r="J238" t="str">
        <f t="shared" si="11"/>
        <v>Joshua Wilson</v>
      </c>
      <c r="K238" t="str">
        <f t="shared" si="9"/>
        <v>Joshua Wilson</v>
      </c>
      <c r="S238" s="11" t="s">
        <v>1411</v>
      </c>
      <c r="T238">
        <v>59</v>
      </c>
    </row>
    <row r="239" spans="1:20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  <c r="I239" t="str">
        <f t="shared" si="10"/>
        <v>Gold</v>
      </c>
      <c r="J239" t="str">
        <f t="shared" si="11"/>
        <v>Wesley Short</v>
      </c>
      <c r="K239" t="str">
        <f t="shared" si="9"/>
        <v>Wesley Short</v>
      </c>
      <c r="S239" s="9" t="s">
        <v>33</v>
      </c>
      <c r="T239">
        <v>24</v>
      </c>
    </row>
    <row r="240" spans="1:20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  <c r="I240" t="str">
        <f t="shared" si="10"/>
        <v>Platinum</v>
      </c>
      <c r="J240" t="str">
        <f t="shared" si="11"/>
        <v>Steven Smith</v>
      </c>
      <c r="K240" t="str">
        <f t="shared" si="9"/>
        <v>Steven Smith</v>
      </c>
      <c r="S240" s="10" t="s">
        <v>9</v>
      </c>
      <c r="T240">
        <v>24</v>
      </c>
    </row>
    <row r="241" spans="1:20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  <c r="I241" t="str">
        <f t="shared" si="10"/>
        <v>Platinum</v>
      </c>
      <c r="J241" t="str">
        <f t="shared" si="11"/>
        <v>Maria Hill</v>
      </c>
      <c r="K241" t="str">
        <f t="shared" si="9"/>
        <v>Maria Hill</v>
      </c>
      <c r="S241" s="11" t="s">
        <v>32</v>
      </c>
      <c r="T241">
        <v>24</v>
      </c>
    </row>
    <row r="242" spans="1:20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  <c r="I242" t="str">
        <f t="shared" si="10"/>
        <v>Platinum</v>
      </c>
      <c r="J242" t="str">
        <f t="shared" si="11"/>
        <v>William Hull</v>
      </c>
      <c r="K242" t="str">
        <f t="shared" si="9"/>
        <v>William Hull</v>
      </c>
      <c r="S242" s="9" t="s">
        <v>269</v>
      </c>
      <c r="T242">
        <v>56</v>
      </c>
    </row>
    <row r="243" spans="1:20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  <c r="I243" t="str">
        <f t="shared" si="10"/>
        <v>Platinum</v>
      </c>
      <c r="J243" t="str">
        <f t="shared" si="11"/>
        <v>Mr. William Horton</v>
      </c>
      <c r="K243" t="str">
        <f t="shared" si="9"/>
        <v>Mr. William Horton</v>
      </c>
      <c r="S243" s="10" t="s">
        <v>16</v>
      </c>
      <c r="T243">
        <v>56</v>
      </c>
    </row>
    <row r="244" spans="1:20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  <c r="I244" t="str">
        <f t="shared" si="10"/>
        <v>Silver</v>
      </c>
      <c r="J244" t="str">
        <f t="shared" si="11"/>
        <v>William Jackson</v>
      </c>
      <c r="K244" t="str">
        <f t="shared" si="9"/>
        <v>William Jackson</v>
      </c>
      <c r="S244" s="11" t="s">
        <v>268</v>
      </c>
      <c r="T244">
        <v>56</v>
      </c>
    </row>
    <row r="245" spans="1:20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  <c r="I245" t="str">
        <f t="shared" si="10"/>
        <v>Gold</v>
      </c>
      <c r="J245" t="str">
        <f t="shared" si="11"/>
        <v>Brian Hammond</v>
      </c>
      <c r="K245" t="str">
        <f t="shared" si="9"/>
        <v>Brian Hammond</v>
      </c>
      <c r="S245" s="9" t="s">
        <v>148</v>
      </c>
      <c r="T245">
        <v>27</v>
      </c>
    </row>
    <row r="246" spans="1:20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  <c r="I246" t="str">
        <f t="shared" si="10"/>
        <v>Bronze</v>
      </c>
      <c r="J246" t="str">
        <f t="shared" si="11"/>
        <v>Nancy Page</v>
      </c>
      <c r="K246" t="str">
        <f t="shared" si="9"/>
        <v>Nancy Page</v>
      </c>
      <c r="S246" s="10" t="s">
        <v>16</v>
      </c>
      <c r="T246">
        <v>27</v>
      </c>
    </row>
    <row r="247" spans="1:20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  <c r="I247" t="str">
        <f t="shared" si="10"/>
        <v>Platinum</v>
      </c>
      <c r="J247" t="str">
        <f t="shared" si="11"/>
        <v>Laura Soto</v>
      </c>
      <c r="K247" t="str">
        <f t="shared" si="9"/>
        <v>Laura Soto</v>
      </c>
      <c r="S247" s="11" t="s">
        <v>147</v>
      </c>
      <c r="T247">
        <v>27</v>
      </c>
    </row>
    <row r="248" spans="1:20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  <c r="I248" t="str">
        <f t="shared" si="10"/>
        <v>Bronze</v>
      </c>
      <c r="J248" t="str">
        <f t="shared" si="11"/>
        <v>Mary Russell</v>
      </c>
      <c r="K248" t="str">
        <f t="shared" si="9"/>
        <v>Mary Russell</v>
      </c>
      <c r="S248" s="9" t="s">
        <v>822</v>
      </c>
      <c r="T248">
        <v>42</v>
      </c>
    </row>
    <row r="249" spans="1:20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  <c r="I249" t="str">
        <f t="shared" si="10"/>
        <v>Platinum</v>
      </c>
      <c r="J249" t="str">
        <f t="shared" si="11"/>
        <v>Douglas Rhodes</v>
      </c>
      <c r="K249" t="str">
        <f t="shared" si="9"/>
        <v>Douglas Rhodes</v>
      </c>
      <c r="S249" s="10" t="s">
        <v>9</v>
      </c>
      <c r="T249">
        <v>42</v>
      </c>
    </row>
    <row r="250" spans="1:20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  <c r="I250" t="str">
        <f t="shared" si="10"/>
        <v>Gold</v>
      </c>
      <c r="J250" t="str">
        <f t="shared" si="11"/>
        <v>Nicholas Webb</v>
      </c>
      <c r="K250" t="str">
        <f t="shared" si="9"/>
        <v>Nicholas Webb</v>
      </c>
      <c r="S250" s="11" t="s">
        <v>821</v>
      </c>
      <c r="T250">
        <v>42</v>
      </c>
    </row>
    <row r="251" spans="1:20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  <c r="I251" t="str">
        <f t="shared" si="10"/>
        <v>Gold</v>
      </c>
      <c r="J251" t="str">
        <f t="shared" si="11"/>
        <v>Lauren George</v>
      </c>
      <c r="K251" t="str">
        <f t="shared" si="9"/>
        <v>Lauren George</v>
      </c>
      <c r="S251" s="9" t="s">
        <v>1525</v>
      </c>
      <c r="T251">
        <v>56</v>
      </c>
    </row>
    <row r="252" spans="1:20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  <c r="I252" t="str">
        <f t="shared" si="10"/>
        <v>Platinum</v>
      </c>
      <c r="J252" t="str">
        <f t="shared" si="11"/>
        <v>Veronica Newman</v>
      </c>
      <c r="K252" t="str">
        <f t="shared" si="9"/>
        <v>Veronica Newman</v>
      </c>
      <c r="S252" s="10" t="s">
        <v>9</v>
      </c>
      <c r="T252">
        <v>56</v>
      </c>
    </row>
    <row r="253" spans="1:20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  <c r="I253" t="str">
        <f t="shared" si="10"/>
        <v>Silver</v>
      </c>
      <c r="J253" t="str">
        <f t="shared" si="11"/>
        <v>Tyler Garner</v>
      </c>
      <c r="K253" t="str">
        <f t="shared" si="9"/>
        <v>Tyler Garner</v>
      </c>
      <c r="S253" s="11" t="s">
        <v>1524</v>
      </c>
      <c r="T253">
        <v>56</v>
      </c>
    </row>
    <row r="254" spans="1:20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  <c r="I254" t="str">
        <f t="shared" si="10"/>
        <v>Silver</v>
      </c>
      <c r="J254" t="str">
        <f t="shared" si="11"/>
        <v>John Mccoy</v>
      </c>
      <c r="K254" t="str">
        <f t="shared" si="9"/>
        <v>John Mccoy</v>
      </c>
      <c r="S254" s="9" t="s">
        <v>1568</v>
      </c>
      <c r="T254">
        <v>18</v>
      </c>
    </row>
    <row r="255" spans="1:20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  <c r="I255" t="str">
        <f t="shared" si="10"/>
        <v>Bronze</v>
      </c>
      <c r="J255" t="str">
        <f t="shared" si="11"/>
        <v>Dr. Ashley Yates Md</v>
      </c>
      <c r="K255" t="str">
        <f t="shared" si="9"/>
        <v>Dr. Ashley Yates Md</v>
      </c>
      <c r="S255" s="10" t="s">
        <v>9</v>
      </c>
      <c r="T255">
        <v>18</v>
      </c>
    </row>
    <row r="256" spans="1:20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  <c r="I256" t="str">
        <f t="shared" si="10"/>
        <v>Silver</v>
      </c>
      <c r="J256" t="str">
        <f t="shared" si="11"/>
        <v>Linda Kline</v>
      </c>
      <c r="K256" t="str">
        <f t="shared" si="9"/>
        <v>Linda Kline</v>
      </c>
      <c r="S256" s="11" t="s">
        <v>565</v>
      </c>
      <c r="T256">
        <v>18</v>
      </c>
    </row>
    <row r="257" spans="1:20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  <c r="I257" t="str">
        <f t="shared" si="10"/>
        <v>Gold</v>
      </c>
      <c r="J257" t="str">
        <f t="shared" si="11"/>
        <v>Damon Perez</v>
      </c>
      <c r="K257" t="str">
        <f t="shared" si="9"/>
        <v>Damon Perez</v>
      </c>
      <c r="S257" s="9" t="s">
        <v>370</v>
      </c>
      <c r="T257">
        <v>64</v>
      </c>
    </row>
    <row r="258" spans="1:20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  <c r="I258" t="str">
        <f t="shared" si="10"/>
        <v>Platinum</v>
      </c>
      <c r="J258" t="str">
        <f t="shared" si="11"/>
        <v>Kristen Fischer</v>
      </c>
      <c r="K258" t="str">
        <f t="shared" ref="K258:K321" si="12">TRIM(J258)</f>
        <v>Kristen Fischer</v>
      </c>
      <c r="S258" s="10" t="s">
        <v>9</v>
      </c>
      <c r="T258">
        <v>64</v>
      </c>
    </row>
    <row r="259" spans="1:20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  <c r="I259" t="str">
        <f t="shared" ref="I259:I322" si="13">IF(ISBLANK(H259),"Unknown",H259)</f>
        <v>Silver</v>
      </c>
      <c r="J259" t="str">
        <f t="shared" ref="J259:J322" si="14">PROPER(B259)</f>
        <v>Christopher David</v>
      </c>
      <c r="K259" t="str">
        <f t="shared" si="12"/>
        <v>Christopher David</v>
      </c>
      <c r="S259" s="11" t="s">
        <v>369</v>
      </c>
      <c r="T259">
        <v>64</v>
      </c>
    </row>
    <row r="260" spans="1:20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  <c r="I260" t="str">
        <f t="shared" si="13"/>
        <v>Platinum</v>
      </c>
      <c r="J260" t="str">
        <f t="shared" si="14"/>
        <v>Sarah Stewart</v>
      </c>
      <c r="K260" t="str">
        <f t="shared" si="12"/>
        <v>Sarah Stewart</v>
      </c>
      <c r="S260" s="9" t="s">
        <v>138</v>
      </c>
      <c r="T260">
        <v>27</v>
      </c>
    </row>
    <row r="261" spans="1:20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  <c r="I261" t="str">
        <f t="shared" si="13"/>
        <v>Silver</v>
      </c>
      <c r="J261" t="str">
        <f t="shared" si="14"/>
        <v>Beth Allen</v>
      </c>
      <c r="K261" t="str">
        <f t="shared" si="12"/>
        <v>Beth Allen</v>
      </c>
      <c r="S261" s="10" t="s">
        <v>16</v>
      </c>
      <c r="T261">
        <v>27</v>
      </c>
    </row>
    <row r="262" spans="1:20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  <c r="I262" t="str">
        <f t="shared" si="13"/>
        <v>Platinum</v>
      </c>
      <c r="J262" t="str">
        <f t="shared" si="14"/>
        <v>Russell Lamb</v>
      </c>
      <c r="K262" t="str">
        <f t="shared" si="12"/>
        <v>Russell Lamb</v>
      </c>
      <c r="S262" s="11" t="s">
        <v>137</v>
      </c>
      <c r="T262">
        <v>27</v>
      </c>
    </row>
    <row r="263" spans="1:20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  <c r="I263" t="str">
        <f t="shared" si="13"/>
        <v>Silver</v>
      </c>
      <c r="J263" t="str">
        <f t="shared" si="14"/>
        <v>Carol Bishop</v>
      </c>
      <c r="K263" t="str">
        <f t="shared" si="12"/>
        <v>Carol Bishop</v>
      </c>
      <c r="S263" s="9" t="s">
        <v>626</v>
      </c>
      <c r="T263">
        <v>21</v>
      </c>
    </row>
    <row r="264" spans="1:20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  <c r="I264" t="str">
        <f t="shared" si="13"/>
        <v>Silver</v>
      </c>
      <c r="J264" t="str">
        <f t="shared" si="14"/>
        <v>Katherine Cowan</v>
      </c>
      <c r="K264" t="str">
        <f t="shared" si="12"/>
        <v>Katherine Cowan</v>
      </c>
      <c r="S264" s="10" t="s">
        <v>9</v>
      </c>
      <c r="T264">
        <v>21</v>
      </c>
    </row>
    <row r="265" spans="1:20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  <c r="I265" t="str">
        <f t="shared" si="13"/>
        <v>Bronze</v>
      </c>
      <c r="J265" t="str">
        <f t="shared" si="14"/>
        <v>Crystal Davis</v>
      </c>
      <c r="K265" t="str">
        <f t="shared" si="12"/>
        <v>Crystal Davis</v>
      </c>
      <c r="S265" s="11" t="s">
        <v>625</v>
      </c>
      <c r="T265">
        <v>21</v>
      </c>
    </row>
    <row r="266" spans="1:20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  <c r="I266" t="str">
        <f t="shared" si="13"/>
        <v>Gold</v>
      </c>
      <c r="J266" t="str">
        <f t="shared" si="14"/>
        <v>Matthew Payne</v>
      </c>
      <c r="K266" t="str">
        <f t="shared" si="12"/>
        <v>Matthew Payne</v>
      </c>
      <c r="S266" s="9" t="s">
        <v>212</v>
      </c>
      <c r="T266">
        <v>49</v>
      </c>
    </row>
    <row r="267" spans="1:20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  <c r="I267" t="str">
        <f t="shared" si="13"/>
        <v>Silver</v>
      </c>
      <c r="J267" t="str">
        <f t="shared" si="14"/>
        <v>Tracy Kelly</v>
      </c>
      <c r="K267" t="str">
        <f t="shared" si="12"/>
        <v>Tracy Kelly</v>
      </c>
      <c r="S267" s="10" t="s">
        <v>16</v>
      </c>
      <c r="T267">
        <v>49</v>
      </c>
    </row>
    <row r="268" spans="1:20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  <c r="I268" t="str">
        <f t="shared" si="13"/>
        <v>Bronze</v>
      </c>
      <c r="J268" t="str">
        <f t="shared" si="14"/>
        <v>Cynthia Payne</v>
      </c>
      <c r="K268" t="str">
        <f t="shared" si="12"/>
        <v>Cynthia Payne</v>
      </c>
      <c r="S268" s="11" t="s">
        <v>211</v>
      </c>
      <c r="T268">
        <v>49</v>
      </c>
    </row>
    <row r="269" spans="1:20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  <c r="I269" t="str">
        <f t="shared" si="13"/>
        <v>Bronze</v>
      </c>
      <c r="J269" t="str">
        <f t="shared" si="14"/>
        <v>Zachary Shelton</v>
      </c>
      <c r="K269" t="str">
        <f t="shared" si="12"/>
        <v>Zachary Shelton</v>
      </c>
      <c r="S269" s="9" t="s">
        <v>747</v>
      </c>
      <c r="T269">
        <v>27</v>
      </c>
    </row>
    <row r="270" spans="1:20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  <c r="I270" t="str">
        <f t="shared" si="13"/>
        <v>Bronze</v>
      </c>
      <c r="J270" t="str">
        <f t="shared" si="14"/>
        <v>Kevin Orr</v>
      </c>
      <c r="K270" t="str">
        <f t="shared" si="12"/>
        <v>Kevin Orr</v>
      </c>
      <c r="S270" s="10" t="s">
        <v>16</v>
      </c>
      <c r="T270">
        <v>27</v>
      </c>
    </row>
    <row r="271" spans="1:20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  <c r="I271" t="str">
        <f t="shared" si="13"/>
        <v>Silver</v>
      </c>
      <c r="J271" t="str">
        <f t="shared" si="14"/>
        <v>Tyrone Olson</v>
      </c>
      <c r="K271" t="str">
        <f t="shared" si="12"/>
        <v>Tyrone Olson</v>
      </c>
      <c r="S271" s="11" t="s">
        <v>746</v>
      </c>
      <c r="T271">
        <v>27</v>
      </c>
    </row>
    <row r="272" spans="1:20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  <c r="I272" t="str">
        <f t="shared" si="13"/>
        <v>Gold</v>
      </c>
      <c r="J272" t="str">
        <f t="shared" si="14"/>
        <v>Brian Garcia</v>
      </c>
      <c r="K272" t="str">
        <f t="shared" si="12"/>
        <v>Brian Garcia</v>
      </c>
      <c r="S272" s="9" t="s">
        <v>305</v>
      </c>
      <c r="T272">
        <v>26</v>
      </c>
    </row>
    <row r="273" spans="1:20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  <c r="I273" t="str">
        <f t="shared" si="13"/>
        <v>Platinum</v>
      </c>
      <c r="J273" t="str">
        <f t="shared" si="14"/>
        <v>Daisy Johnson Dds</v>
      </c>
      <c r="K273" t="str">
        <f t="shared" si="12"/>
        <v>Daisy Johnson Dds</v>
      </c>
      <c r="S273" s="10" t="s">
        <v>16</v>
      </c>
      <c r="T273">
        <v>26</v>
      </c>
    </row>
    <row r="274" spans="1:20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  <c r="I274" t="str">
        <f t="shared" si="13"/>
        <v>Gold</v>
      </c>
      <c r="J274" t="str">
        <f t="shared" si="14"/>
        <v>Adam Rowland</v>
      </c>
      <c r="K274" t="str">
        <f t="shared" si="12"/>
        <v>Adam Rowland</v>
      </c>
      <c r="S274" s="11" t="s">
        <v>304</v>
      </c>
      <c r="T274">
        <v>26</v>
      </c>
    </row>
    <row r="275" spans="1:20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  <c r="I275" t="str">
        <f t="shared" si="13"/>
        <v>Bronze</v>
      </c>
      <c r="J275" t="str">
        <f t="shared" si="14"/>
        <v>Samantha Robinson</v>
      </c>
      <c r="K275" t="str">
        <f t="shared" si="12"/>
        <v>Samantha Robinson</v>
      </c>
      <c r="S275" s="9" t="s">
        <v>336</v>
      </c>
      <c r="T275">
        <v>28</v>
      </c>
    </row>
    <row r="276" spans="1:20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  <c r="I276" t="str">
        <f t="shared" si="13"/>
        <v>Silver</v>
      </c>
      <c r="J276" t="str">
        <f t="shared" si="14"/>
        <v>Sarah Lane</v>
      </c>
      <c r="K276" t="str">
        <f t="shared" si="12"/>
        <v>Sarah Lane</v>
      </c>
      <c r="S276" s="10" t="s">
        <v>16</v>
      </c>
      <c r="T276">
        <v>28</v>
      </c>
    </row>
    <row r="277" spans="1:20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  <c r="I277" t="str">
        <f t="shared" si="13"/>
        <v>Gold</v>
      </c>
      <c r="J277" t="str">
        <f t="shared" si="14"/>
        <v>Shannon Miller</v>
      </c>
      <c r="K277" t="str">
        <f t="shared" si="12"/>
        <v>Shannon Miller</v>
      </c>
      <c r="S277" s="11" t="s">
        <v>335</v>
      </c>
      <c r="T277">
        <v>28</v>
      </c>
    </row>
    <row r="278" spans="1:20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  <c r="I278" t="str">
        <f t="shared" si="13"/>
        <v>Gold</v>
      </c>
      <c r="J278" t="str">
        <f t="shared" si="14"/>
        <v>Arthur Warren</v>
      </c>
      <c r="K278" t="str">
        <f t="shared" si="12"/>
        <v>Arthur Warren</v>
      </c>
      <c r="S278" s="9" t="s">
        <v>285</v>
      </c>
      <c r="T278">
        <v>21</v>
      </c>
    </row>
    <row r="279" spans="1:20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  <c r="I279" t="str">
        <f t="shared" si="13"/>
        <v>Platinum</v>
      </c>
      <c r="J279" t="str">
        <f t="shared" si="14"/>
        <v>Jeffrey Gomez</v>
      </c>
      <c r="K279" t="str">
        <f t="shared" si="12"/>
        <v>Jeffrey Gomez</v>
      </c>
      <c r="S279" s="10" t="s">
        <v>9</v>
      </c>
      <c r="T279">
        <v>21</v>
      </c>
    </row>
    <row r="280" spans="1:20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  <c r="I280" t="str">
        <f t="shared" si="13"/>
        <v>Platinum</v>
      </c>
      <c r="J280" t="str">
        <f t="shared" si="14"/>
        <v>Stephen Fowler</v>
      </c>
      <c r="K280" t="str">
        <f t="shared" si="12"/>
        <v>Stephen Fowler</v>
      </c>
      <c r="S280" s="11" t="s">
        <v>284</v>
      </c>
      <c r="T280">
        <v>21</v>
      </c>
    </row>
    <row r="281" spans="1:20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  <c r="I281" t="str">
        <f t="shared" si="13"/>
        <v>Bronze</v>
      </c>
      <c r="J281" t="str">
        <f t="shared" si="14"/>
        <v>Aaron Luna</v>
      </c>
      <c r="K281" t="str">
        <f t="shared" si="12"/>
        <v>Aaron Luna</v>
      </c>
      <c r="S281" s="9" t="s">
        <v>245</v>
      </c>
      <c r="T281">
        <v>27</v>
      </c>
    </row>
    <row r="282" spans="1:20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  <c r="I282" t="str">
        <f t="shared" si="13"/>
        <v>Bronze</v>
      </c>
      <c r="J282" t="str">
        <f t="shared" si="14"/>
        <v>Antonio Leon</v>
      </c>
      <c r="K282" t="str">
        <f t="shared" si="12"/>
        <v>Antonio Leon</v>
      </c>
      <c r="S282" s="10" t="s">
        <v>16</v>
      </c>
      <c r="T282">
        <v>27</v>
      </c>
    </row>
    <row r="283" spans="1:20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  <c r="I283" t="str">
        <f t="shared" si="13"/>
        <v>Platinum</v>
      </c>
      <c r="J283" t="str">
        <f t="shared" si="14"/>
        <v>Brittany Watson</v>
      </c>
      <c r="K283" t="str">
        <f t="shared" si="12"/>
        <v>Brittany Watson</v>
      </c>
      <c r="S283" s="11" t="s">
        <v>244</v>
      </c>
      <c r="T283">
        <v>27</v>
      </c>
    </row>
    <row r="284" spans="1:20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  <c r="I284" t="str">
        <f t="shared" si="13"/>
        <v>Gold</v>
      </c>
      <c r="J284" t="str">
        <f t="shared" si="14"/>
        <v>Kristi Lopez</v>
      </c>
      <c r="K284" t="str">
        <f t="shared" si="12"/>
        <v>Kristi Lopez</v>
      </c>
      <c r="S284" s="9" t="s">
        <v>361</v>
      </c>
      <c r="T284">
        <v>29</v>
      </c>
    </row>
    <row r="285" spans="1:20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  <c r="I285" t="str">
        <f t="shared" si="13"/>
        <v>Silver</v>
      </c>
      <c r="J285" t="str">
        <f t="shared" si="14"/>
        <v>Bryan Garcia</v>
      </c>
      <c r="K285" t="str">
        <f t="shared" si="12"/>
        <v>Bryan Garcia</v>
      </c>
      <c r="S285" s="10" t="s">
        <v>9</v>
      </c>
      <c r="T285">
        <v>29</v>
      </c>
    </row>
    <row r="286" spans="1:20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  <c r="I286" t="str">
        <f t="shared" si="13"/>
        <v>Gold</v>
      </c>
      <c r="J286" t="str">
        <f t="shared" si="14"/>
        <v>Hunter Sutton</v>
      </c>
      <c r="K286" t="str">
        <f t="shared" si="12"/>
        <v>Hunter Sutton</v>
      </c>
      <c r="S286" s="11" t="s">
        <v>360</v>
      </c>
      <c r="T286">
        <v>29</v>
      </c>
    </row>
    <row r="287" spans="1:20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  <c r="I287" t="str">
        <f t="shared" si="13"/>
        <v>Silver</v>
      </c>
      <c r="J287" t="str">
        <f t="shared" si="14"/>
        <v>Donna Guerra</v>
      </c>
      <c r="K287" t="str">
        <f t="shared" si="12"/>
        <v>Donna Guerra</v>
      </c>
      <c r="S287" s="9" t="s">
        <v>409</v>
      </c>
      <c r="T287">
        <v>21</v>
      </c>
    </row>
    <row r="288" spans="1:20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  <c r="I288" t="str">
        <f t="shared" si="13"/>
        <v>Silver</v>
      </c>
      <c r="J288" t="str">
        <f t="shared" si="14"/>
        <v>Tommy Roberts</v>
      </c>
      <c r="K288" t="str">
        <f t="shared" si="12"/>
        <v>Tommy Roberts</v>
      </c>
      <c r="S288" s="10" t="s">
        <v>16</v>
      </c>
      <c r="T288">
        <v>21</v>
      </c>
    </row>
    <row r="289" spans="1:20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  <c r="I289" t="str">
        <f t="shared" si="13"/>
        <v>Gold</v>
      </c>
      <c r="J289" t="str">
        <f t="shared" si="14"/>
        <v>Cynthia Roberts</v>
      </c>
      <c r="K289" t="str">
        <f t="shared" si="12"/>
        <v>Cynthia Roberts</v>
      </c>
      <c r="S289" s="11" t="s">
        <v>408</v>
      </c>
      <c r="T289">
        <v>21</v>
      </c>
    </row>
    <row r="290" spans="1:20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  <c r="I290" t="str">
        <f t="shared" si="13"/>
        <v>Gold</v>
      </c>
      <c r="J290" t="str">
        <f t="shared" si="14"/>
        <v>Misty Ferguson</v>
      </c>
      <c r="K290" t="str">
        <f t="shared" si="12"/>
        <v>Misty Ferguson</v>
      </c>
      <c r="S290" s="9" t="s">
        <v>479</v>
      </c>
      <c r="T290">
        <v>30</v>
      </c>
    </row>
    <row r="291" spans="1:20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  <c r="I291" t="str">
        <f t="shared" si="13"/>
        <v>Bronze</v>
      </c>
      <c r="J291" t="str">
        <f t="shared" si="14"/>
        <v>Jennifer Figueroa</v>
      </c>
      <c r="K291" t="str">
        <f t="shared" si="12"/>
        <v>Jennifer Figueroa</v>
      </c>
      <c r="S291" s="10" t="s">
        <v>9</v>
      </c>
      <c r="T291">
        <v>30</v>
      </c>
    </row>
    <row r="292" spans="1:20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  <c r="I292" t="str">
        <f t="shared" si="13"/>
        <v>Silver</v>
      </c>
      <c r="J292" t="str">
        <f t="shared" si="14"/>
        <v>Chase Williams Md</v>
      </c>
      <c r="K292" t="str">
        <f t="shared" si="12"/>
        <v>Chase Williams Md</v>
      </c>
      <c r="S292" s="11" t="s">
        <v>478</v>
      </c>
      <c r="T292">
        <v>30</v>
      </c>
    </row>
    <row r="293" spans="1:20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  <c r="I293" t="str">
        <f t="shared" si="13"/>
        <v>Bronze</v>
      </c>
      <c r="J293" t="str">
        <f t="shared" si="14"/>
        <v>James Powell</v>
      </c>
      <c r="K293" t="str">
        <f t="shared" si="12"/>
        <v>James Powell</v>
      </c>
      <c r="S293" s="9" t="s">
        <v>840</v>
      </c>
      <c r="T293">
        <v>50</v>
      </c>
    </row>
    <row r="294" spans="1:20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  <c r="I294" t="str">
        <f t="shared" si="13"/>
        <v>Silver</v>
      </c>
      <c r="J294" t="str">
        <f t="shared" si="14"/>
        <v>Ricardo Jones</v>
      </c>
      <c r="K294" t="str">
        <f t="shared" si="12"/>
        <v>Ricardo Jones</v>
      </c>
      <c r="S294" s="10" t="s">
        <v>9</v>
      </c>
      <c r="T294">
        <v>50</v>
      </c>
    </row>
    <row r="295" spans="1:20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  <c r="I295" t="str">
        <f t="shared" si="13"/>
        <v>Platinum</v>
      </c>
      <c r="J295" t="str">
        <f t="shared" si="14"/>
        <v>Gloria Taylor</v>
      </c>
      <c r="K295" t="str">
        <f t="shared" si="12"/>
        <v>Gloria Taylor</v>
      </c>
      <c r="S295" s="11" t="s">
        <v>839</v>
      </c>
      <c r="T295">
        <v>50</v>
      </c>
    </row>
    <row r="296" spans="1:20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  <c r="I296" t="str">
        <f t="shared" si="13"/>
        <v>Platinum</v>
      </c>
      <c r="J296" t="str">
        <f t="shared" si="14"/>
        <v>Lisa Chandler</v>
      </c>
      <c r="K296" t="str">
        <f t="shared" si="12"/>
        <v>Lisa Chandler</v>
      </c>
      <c r="S296" s="9" t="s">
        <v>935</v>
      </c>
      <c r="T296">
        <v>19</v>
      </c>
    </row>
    <row r="297" spans="1:20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  <c r="I297" t="str">
        <f t="shared" si="13"/>
        <v>Bronze</v>
      </c>
      <c r="J297" t="str">
        <f t="shared" si="14"/>
        <v>Crystal Waters</v>
      </c>
      <c r="K297" t="str">
        <f t="shared" si="12"/>
        <v>Crystal Waters</v>
      </c>
      <c r="S297" s="10" t="s">
        <v>16</v>
      </c>
      <c r="T297">
        <v>19</v>
      </c>
    </row>
    <row r="298" spans="1:20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  <c r="I298" t="str">
        <f t="shared" si="13"/>
        <v>Bronze</v>
      </c>
      <c r="J298" t="str">
        <f t="shared" si="14"/>
        <v>Jared Moran</v>
      </c>
      <c r="K298" t="str">
        <f t="shared" si="12"/>
        <v>Jared Moran</v>
      </c>
      <c r="S298" s="11" t="s">
        <v>934</v>
      </c>
      <c r="T298">
        <v>19</v>
      </c>
    </row>
    <row r="299" spans="1:20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  <c r="I299" t="str">
        <f t="shared" si="13"/>
        <v>Silver</v>
      </c>
      <c r="J299" t="str">
        <f t="shared" si="14"/>
        <v>Jennifer Carr</v>
      </c>
      <c r="K299" t="str">
        <f t="shared" si="12"/>
        <v>Jennifer Carr</v>
      </c>
      <c r="S299" s="9" t="s">
        <v>521</v>
      </c>
      <c r="T299">
        <v>60</v>
      </c>
    </row>
    <row r="300" spans="1:20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  <c r="I300" t="str">
        <f t="shared" si="13"/>
        <v>Platinum</v>
      </c>
      <c r="J300" t="str">
        <f t="shared" si="14"/>
        <v>Tracy Stephens</v>
      </c>
      <c r="K300" t="str">
        <f t="shared" si="12"/>
        <v>Tracy Stephens</v>
      </c>
      <c r="S300" s="10" t="s">
        <v>16</v>
      </c>
      <c r="T300">
        <v>60</v>
      </c>
    </row>
    <row r="301" spans="1:20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  <c r="I301" t="str">
        <f t="shared" si="13"/>
        <v>Platinum</v>
      </c>
      <c r="J301" t="str">
        <f t="shared" si="14"/>
        <v>Stephanie Jacobs</v>
      </c>
      <c r="K301" t="str">
        <f t="shared" si="12"/>
        <v>Stephanie Jacobs</v>
      </c>
      <c r="S301" s="11" t="s">
        <v>520</v>
      </c>
      <c r="T301">
        <v>60</v>
      </c>
    </row>
    <row r="302" spans="1:20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  <c r="I302" t="str">
        <f t="shared" si="13"/>
        <v>Silver</v>
      </c>
      <c r="J302" t="str">
        <f t="shared" si="14"/>
        <v>Matthew Avery</v>
      </c>
      <c r="K302" t="str">
        <f t="shared" si="12"/>
        <v>Matthew Avery</v>
      </c>
      <c r="S302" s="9" t="s">
        <v>586</v>
      </c>
      <c r="T302">
        <v>55</v>
      </c>
    </row>
    <row r="303" spans="1:20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  <c r="I303" t="str">
        <f t="shared" si="13"/>
        <v>Gold</v>
      </c>
      <c r="J303" t="str">
        <f t="shared" si="14"/>
        <v>Ryan Kane</v>
      </c>
      <c r="K303" t="str">
        <f t="shared" si="12"/>
        <v>Ryan Kane</v>
      </c>
      <c r="S303" s="10" t="s">
        <v>9</v>
      </c>
      <c r="T303">
        <v>55</v>
      </c>
    </row>
    <row r="304" spans="1:20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  <c r="I304" t="str">
        <f t="shared" si="13"/>
        <v>Gold</v>
      </c>
      <c r="J304" t="str">
        <f t="shared" si="14"/>
        <v>Edward Cole</v>
      </c>
      <c r="K304" t="str">
        <f t="shared" si="12"/>
        <v>Edward Cole</v>
      </c>
      <c r="S304" s="11" t="s">
        <v>585</v>
      </c>
      <c r="T304">
        <v>55</v>
      </c>
    </row>
    <row r="305" spans="1:20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  <c r="I305" t="str">
        <f t="shared" si="13"/>
        <v>Platinum</v>
      </c>
      <c r="J305" t="str">
        <f t="shared" si="14"/>
        <v>John Sloan</v>
      </c>
      <c r="K305" t="str">
        <f t="shared" si="12"/>
        <v>John Sloan</v>
      </c>
      <c r="S305" s="9" t="s">
        <v>1215</v>
      </c>
      <c r="T305">
        <v>50</v>
      </c>
    </row>
    <row r="306" spans="1:20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  <c r="I306" t="str">
        <f t="shared" si="13"/>
        <v>Silver</v>
      </c>
      <c r="J306" t="str">
        <f t="shared" si="14"/>
        <v>Miss Alexandria Li Dvm</v>
      </c>
      <c r="K306" t="str">
        <f t="shared" si="12"/>
        <v>Miss Alexandria Li Dvm</v>
      </c>
      <c r="S306" s="10" t="s">
        <v>9</v>
      </c>
      <c r="T306">
        <v>50</v>
      </c>
    </row>
    <row r="307" spans="1:20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  <c r="I307" t="str">
        <f t="shared" si="13"/>
        <v>Platinum</v>
      </c>
      <c r="J307" t="str">
        <f t="shared" si="14"/>
        <v>Roberta Green</v>
      </c>
      <c r="K307" t="str">
        <f t="shared" si="12"/>
        <v>Roberta Green</v>
      </c>
      <c r="S307" s="11" t="s">
        <v>1214</v>
      </c>
      <c r="T307">
        <v>50</v>
      </c>
    </row>
    <row r="308" spans="1:20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  <c r="I308" t="str">
        <f t="shared" si="13"/>
        <v>Platinum</v>
      </c>
      <c r="J308" t="str">
        <f t="shared" si="14"/>
        <v>Angela Robinson</v>
      </c>
      <c r="K308" t="str">
        <f t="shared" si="12"/>
        <v>Angela Robinson</v>
      </c>
      <c r="S308" s="9" t="s">
        <v>539</v>
      </c>
      <c r="T308">
        <v>18</v>
      </c>
    </row>
    <row r="309" spans="1:20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  <c r="I309" t="str">
        <f t="shared" si="13"/>
        <v>Bronze</v>
      </c>
      <c r="J309" t="str">
        <f t="shared" si="14"/>
        <v>Brandy Thompson</v>
      </c>
      <c r="K309" t="str">
        <f t="shared" si="12"/>
        <v>Brandy Thompson</v>
      </c>
      <c r="S309" s="10" t="s">
        <v>16</v>
      </c>
      <c r="T309">
        <v>18</v>
      </c>
    </row>
    <row r="310" spans="1:20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  <c r="I310" t="str">
        <f t="shared" si="13"/>
        <v>Gold</v>
      </c>
      <c r="J310" t="str">
        <f t="shared" si="14"/>
        <v>Jennifer Zamora</v>
      </c>
      <c r="K310" t="str">
        <f t="shared" si="12"/>
        <v>Jennifer Zamora</v>
      </c>
      <c r="S310" s="11" t="s">
        <v>538</v>
      </c>
      <c r="T310">
        <v>18</v>
      </c>
    </row>
    <row r="311" spans="1:20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  <c r="I311" t="str">
        <f t="shared" si="13"/>
        <v>Bronze</v>
      </c>
      <c r="J311" t="str">
        <f t="shared" si="14"/>
        <v>Stacy Collins</v>
      </c>
      <c r="K311" t="str">
        <f t="shared" si="12"/>
        <v>Stacy Collins</v>
      </c>
      <c r="S311" s="9" t="s">
        <v>1438</v>
      </c>
      <c r="T311">
        <v>18</v>
      </c>
    </row>
    <row r="312" spans="1:20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  <c r="I312" t="str">
        <f t="shared" si="13"/>
        <v>Silver</v>
      </c>
      <c r="J312" t="str">
        <f t="shared" si="14"/>
        <v>Kara Dodson</v>
      </c>
      <c r="K312" t="str">
        <f t="shared" si="12"/>
        <v>Kara Dodson</v>
      </c>
      <c r="S312" s="10" t="s">
        <v>9</v>
      </c>
      <c r="T312">
        <v>18</v>
      </c>
    </row>
    <row r="313" spans="1:20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  <c r="I313" t="str">
        <f t="shared" si="13"/>
        <v>Platinum</v>
      </c>
      <c r="J313" t="str">
        <f t="shared" si="14"/>
        <v>Kevin Larson</v>
      </c>
      <c r="K313" t="str">
        <f t="shared" si="12"/>
        <v>Kevin Larson</v>
      </c>
      <c r="S313" s="11" t="s">
        <v>1437</v>
      </c>
      <c r="T313">
        <v>18</v>
      </c>
    </row>
    <row r="314" spans="1:20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  <c r="I314" t="str">
        <f t="shared" si="13"/>
        <v>Silver</v>
      </c>
      <c r="J314" t="str">
        <f t="shared" si="14"/>
        <v>Jason Mullins</v>
      </c>
      <c r="K314" t="str">
        <f t="shared" si="12"/>
        <v>Jason Mullins</v>
      </c>
      <c r="S314" s="9" t="s">
        <v>850</v>
      </c>
      <c r="T314">
        <v>32</v>
      </c>
    </row>
    <row r="315" spans="1:20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  <c r="I315" t="str">
        <f t="shared" si="13"/>
        <v>Platinum</v>
      </c>
      <c r="J315" t="str">
        <f t="shared" si="14"/>
        <v>Elizabeth Jones</v>
      </c>
      <c r="K315" t="str">
        <f t="shared" si="12"/>
        <v>Elizabeth Jones</v>
      </c>
      <c r="S315" s="10" t="s">
        <v>16</v>
      </c>
      <c r="T315">
        <v>32</v>
      </c>
    </row>
    <row r="316" spans="1:20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  <c r="I316" t="str">
        <f t="shared" si="13"/>
        <v>Silver</v>
      </c>
      <c r="J316" t="str">
        <f t="shared" si="14"/>
        <v>Elizabeth Johnson</v>
      </c>
      <c r="K316" t="str">
        <f t="shared" si="12"/>
        <v>Elizabeth Johnson</v>
      </c>
      <c r="S316" s="11" t="s">
        <v>849</v>
      </c>
      <c r="T316">
        <v>32</v>
      </c>
    </row>
    <row r="317" spans="1:20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  <c r="I317" t="str">
        <f t="shared" si="13"/>
        <v>Silver</v>
      </c>
      <c r="J317" t="str">
        <f t="shared" si="14"/>
        <v>William Rodriguez</v>
      </c>
      <c r="K317" t="str">
        <f t="shared" si="12"/>
        <v>William Rodriguez</v>
      </c>
      <c r="S317" s="9" t="s">
        <v>912</v>
      </c>
      <c r="T317">
        <v>22</v>
      </c>
    </row>
    <row r="318" spans="1:20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  <c r="I318" t="str">
        <f t="shared" si="13"/>
        <v>Gold</v>
      </c>
      <c r="J318" t="str">
        <f t="shared" si="14"/>
        <v>Robert House</v>
      </c>
      <c r="K318" t="str">
        <f t="shared" si="12"/>
        <v>Robert House</v>
      </c>
      <c r="S318" s="10" t="s">
        <v>16</v>
      </c>
      <c r="T318">
        <v>22</v>
      </c>
    </row>
    <row r="319" spans="1:20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  <c r="I319" t="str">
        <f t="shared" si="13"/>
        <v>Gold</v>
      </c>
      <c r="J319" t="str">
        <f t="shared" si="14"/>
        <v>Tiffany Williams</v>
      </c>
      <c r="K319" t="str">
        <f t="shared" si="12"/>
        <v>Tiffany Williams</v>
      </c>
      <c r="S319" s="11" t="s">
        <v>911</v>
      </c>
      <c r="T319">
        <v>22</v>
      </c>
    </row>
    <row r="320" spans="1:20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  <c r="I320" t="str">
        <f t="shared" si="13"/>
        <v>Platinum</v>
      </c>
      <c r="J320" t="str">
        <f t="shared" si="14"/>
        <v>Madison Wright</v>
      </c>
      <c r="K320" t="str">
        <f t="shared" si="12"/>
        <v>Madison Wright</v>
      </c>
      <c r="S320" s="9" t="s">
        <v>1571</v>
      </c>
      <c r="T320">
        <v>64</v>
      </c>
    </row>
    <row r="321" spans="1:20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  <c r="I321" t="str">
        <f t="shared" si="13"/>
        <v>Platinum</v>
      </c>
      <c r="J321" t="str">
        <f t="shared" si="14"/>
        <v>Casey Simpson</v>
      </c>
      <c r="K321" t="str">
        <f t="shared" si="12"/>
        <v>Casey Simpson</v>
      </c>
      <c r="S321" s="10" t="s">
        <v>9</v>
      </c>
      <c r="T321">
        <v>64</v>
      </c>
    </row>
    <row r="322" spans="1:20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  <c r="I322" t="str">
        <f t="shared" si="13"/>
        <v>Bronze</v>
      </c>
      <c r="J322" t="str">
        <f t="shared" si="14"/>
        <v>Jessica Gonzalez</v>
      </c>
      <c r="K322" t="str">
        <f t="shared" ref="K322:K385" si="15">TRIM(J322)</f>
        <v>Jessica Gonzalez</v>
      </c>
      <c r="S322" s="11" t="s">
        <v>863</v>
      </c>
      <c r="T322">
        <v>64</v>
      </c>
    </row>
    <row r="323" spans="1:20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  <c r="I323" t="str">
        <f t="shared" ref="I323:I386" si="16">IF(ISBLANK(H323),"Unknown",H323)</f>
        <v>Bronze</v>
      </c>
      <c r="J323" t="str">
        <f t="shared" ref="J323:J386" si="17">PROPER(B323)</f>
        <v>Darren Burton</v>
      </c>
      <c r="K323" t="str">
        <f t="shared" si="15"/>
        <v>Darren Burton</v>
      </c>
      <c r="S323" s="9" t="s">
        <v>1366</v>
      </c>
      <c r="T323">
        <v>31</v>
      </c>
    </row>
    <row r="324" spans="1:20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  <c r="I324" t="str">
        <f t="shared" si="16"/>
        <v>Bronze</v>
      </c>
      <c r="J324" t="str">
        <f t="shared" si="17"/>
        <v>Samuel Arias</v>
      </c>
      <c r="K324" t="str">
        <f t="shared" si="15"/>
        <v>Samuel Arias</v>
      </c>
      <c r="S324" s="10" t="s">
        <v>9</v>
      </c>
      <c r="T324">
        <v>31</v>
      </c>
    </row>
    <row r="325" spans="1:20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  <c r="I325" t="str">
        <f t="shared" si="16"/>
        <v>Platinum</v>
      </c>
      <c r="J325" t="str">
        <f t="shared" si="17"/>
        <v>Kristy Dunlap</v>
      </c>
      <c r="K325" t="str">
        <f t="shared" si="15"/>
        <v>Kristy Dunlap</v>
      </c>
      <c r="S325" s="11" t="s">
        <v>1365</v>
      </c>
      <c r="T325">
        <v>31</v>
      </c>
    </row>
    <row r="326" spans="1:20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  <c r="I326" t="str">
        <f t="shared" si="16"/>
        <v>Bronze</v>
      </c>
      <c r="J326" t="str">
        <f t="shared" si="17"/>
        <v>Alex Mann Ii</v>
      </c>
      <c r="K326" t="str">
        <f t="shared" si="15"/>
        <v>Alex Mann Ii</v>
      </c>
      <c r="S326" s="9" t="s">
        <v>816</v>
      </c>
      <c r="T326">
        <v>21</v>
      </c>
    </row>
    <row r="327" spans="1:20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  <c r="I327" t="str">
        <f t="shared" si="16"/>
        <v>Bronze</v>
      </c>
      <c r="J327" t="str">
        <f t="shared" si="17"/>
        <v>Andrew Smith</v>
      </c>
      <c r="K327" t="str">
        <f t="shared" si="15"/>
        <v>Andrew Smith</v>
      </c>
      <c r="S327" s="10" t="s">
        <v>9</v>
      </c>
      <c r="T327">
        <v>21</v>
      </c>
    </row>
    <row r="328" spans="1:20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  <c r="I328" t="str">
        <f t="shared" si="16"/>
        <v>Gold</v>
      </c>
      <c r="J328" t="str">
        <f t="shared" si="17"/>
        <v>Robert King</v>
      </c>
      <c r="K328" t="str">
        <f t="shared" si="15"/>
        <v>Robert King</v>
      </c>
      <c r="S328" s="11" t="s">
        <v>815</v>
      </c>
      <c r="T328">
        <v>21</v>
      </c>
    </row>
    <row r="329" spans="1:20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  <c r="I329" t="str">
        <f t="shared" si="16"/>
        <v>Bronze</v>
      </c>
      <c r="J329" t="str">
        <f t="shared" si="17"/>
        <v>Reginald Willis</v>
      </c>
      <c r="K329" t="str">
        <f t="shared" si="15"/>
        <v>Reginald Willis</v>
      </c>
      <c r="S329" s="9" t="s">
        <v>623</v>
      </c>
      <c r="T329">
        <v>29</v>
      </c>
    </row>
    <row r="330" spans="1:20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  <c r="I330" t="str">
        <f t="shared" si="16"/>
        <v>Platinum</v>
      </c>
      <c r="J330" t="str">
        <f t="shared" si="17"/>
        <v>Mario Harvey Jr.</v>
      </c>
      <c r="K330" t="str">
        <f t="shared" si="15"/>
        <v>Mario Harvey Jr.</v>
      </c>
      <c r="S330" s="10" t="s">
        <v>9</v>
      </c>
      <c r="T330">
        <v>29</v>
      </c>
    </row>
    <row r="331" spans="1:20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  <c r="I331" t="str">
        <f t="shared" si="16"/>
        <v>Bronze</v>
      </c>
      <c r="J331" t="str">
        <f t="shared" si="17"/>
        <v>Victor Mcintosh</v>
      </c>
      <c r="K331" t="str">
        <f t="shared" si="15"/>
        <v>Victor Mcintosh</v>
      </c>
      <c r="S331" s="11" t="s">
        <v>622</v>
      </c>
      <c r="T331">
        <v>29</v>
      </c>
    </row>
    <row r="332" spans="1:20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  <c r="I332" t="str">
        <f t="shared" si="16"/>
        <v>Platinum</v>
      </c>
      <c r="J332" t="str">
        <f t="shared" si="17"/>
        <v>Pamela Mcguire</v>
      </c>
      <c r="K332" t="str">
        <f t="shared" si="15"/>
        <v>Pamela Mcguire</v>
      </c>
      <c r="S332" s="9" t="s">
        <v>1218</v>
      </c>
      <c r="T332">
        <v>56</v>
      </c>
    </row>
    <row r="333" spans="1:20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  <c r="I333" t="str">
        <f t="shared" si="16"/>
        <v>Bronze</v>
      </c>
      <c r="J333" t="str">
        <f t="shared" si="17"/>
        <v>Maria Phillips</v>
      </c>
      <c r="K333" t="str">
        <f t="shared" si="15"/>
        <v>Maria Phillips</v>
      </c>
      <c r="S333" s="10" t="s">
        <v>9</v>
      </c>
      <c r="T333">
        <v>56</v>
      </c>
    </row>
    <row r="334" spans="1:20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  <c r="I334" t="str">
        <f t="shared" si="16"/>
        <v>Bronze</v>
      </c>
      <c r="J334" t="str">
        <f t="shared" si="17"/>
        <v>Dr. Lindsay Hanna</v>
      </c>
      <c r="K334" t="str">
        <f t="shared" si="15"/>
        <v>Dr. Lindsay Hanna</v>
      </c>
      <c r="S334" s="11" t="s">
        <v>1217</v>
      </c>
      <c r="T334">
        <v>56</v>
      </c>
    </row>
    <row r="335" spans="1:20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  <c r="I335" t="str">
        <f t="shared" si="16"/>
        <v>Gold</v>
      </c>
      <c r="J335" t="str">
        <f t="shared" si="17"/>
        <v>Teresa Johnson</v>
      </c>
      <c r="K335" t="str">
        <f t="shared" si="15"/>
        <v>Teresa Johnson</v>
      </c>
      <c r="S335" s="9" t="s">
        <v>41</v>
      </c>
      <c r="T335">
        <v>29</v>
      </c>
    </row>
    <row r="336" spans="1:20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  <c r="I336" t="str">
        <f t="shared" si="16"/>
        <v>Silver</v>
      </c>
      <c r="J336" t="str">
        <f t="shared" si="17"/>
        <v>Mr. Christopher Sims</v>
      </c>
      <c r="K336" t="str">
        <f t="shared" si="15"/>
        <v>Mr. Christopher Sims</v>
      </c>
      <c r="S336" s="10" t="s">
        <v>16</v>
      </c>
      <c r="T336">
        <v>29</v>
      </c>
    </row>
    <row r="337" spans="1:20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  <c r="I337" t="str">
        <f t="shared" si="16"/>
        <v>Platinum</v>
      </c>
      <c r="J337" t="str">
        <f t="shared" si="17"/>
        <v>Jennifer Woods</v>
      </c>
      <c r="K337" t="str">
        <f t="shared" si="15"/>
        <v>Jennifer Woods</v>
      </c>
      <c r="S337" s="11" t="s">
        <v>40</v>
      </c>
      <c r="T337">
        <v>29</v>
      </c>
    </row>
    <row r="338" spans="1:20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  <c r="I338" t="str">
        <f t="shared" si="16"/>
        <v>Silver</v>
      </c>
      <c r="J338" t="str">
        <f t="shared" si="17"/>
        <v>John Jones</v>
      </c>
      <c r="K338" t="str">
        <f t="shared" si="15"/>
        <v>John Jones</v>
      </c>
      <c r="S338" s="9" t="s">
        <v>560</v>
      </c>
      <c r="T338">
        <v>36</v>
      </c>
    </row>
    <row r="339" spans="1:20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  <c r="I339" t="str">
        <f t="shared" si="16"/>
        <v>Bronze</v>
      </c>
      <c r="J339" t="str">
        <f t="shared" si="17"/>
        <v>Carol Lewis</v>
      </c>
      <c r="K339" t="str">
        <f t="shared" si="15"/>
        <v>Carol Lewis</v>
      </c>
      <c r="S339" s="10" t="s">
        <v>16</v>
      </c>
      <c r="T339">
        <v>36</v>
      </c>
    </row>
    <row r="340" spans="1:20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  <c r="I340" t="str">
        <f t="shared" si="16"/>
        <v>Silver</v>
      </c>
      <c r="J340" t="str">
        <f t="shared" si="17"/>
        <v>Jasmine Snyder</v>
      </c>
      <c r="K340" t="str">
        <f t="shared" si="15"/>
        <v>Jasmine Snyder</v>
      </c>
      <c r="S340" s="11" t="s">
        <v>559</v>
      </c>
      <c r="T340">
        <v>36</v>
      </c>
    </row>
    <row r="341" spans="1:20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  <c r="I341" t="str">
        <f t="shared" si="16"/>
        <v>Platinum</v>
      </c>
      <c r="J341" t="str">
        <f t="shared" si="17"/>
        <v>Mrs. Susan Buckley</v>
      </c>
      <c r="K341" t="str">
        <f t="shared" si="15"/>
        <v>Mrs. Susan Buckley</v>
      </c>
      <c r="S341" s="9" t="s">
        <v>1084</v>
      </c>
      <c r="T341">
        <v>33</v>
      </c>
    </row>
    <row r="342" spans="1:20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  <c r="I342" t="str">
        <f t="shared" si="16"/>
        <v>Bronze</v>
      </c>
      <c r="J342" t="str">
        <f t="shared" si="17"/>
        <v>Eric Davis</v>
      </c>
      <c r="K342" t="str">
        <f t="shared" si="15"/>
        <v>Eric Davis</v>
      </c>
      <c r="S342" s="10" t="s">
        <v>9</v>
      </c>
      <c r="T342">
        <v>33</v>
      </c>
    </row>
    <row r="343" spans="1:20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  <c r="I343" t="str">
        <f t="shared" si="16"/>
        <v>Bronze</v>
      </c>
      <c r="J343" t="str">
        <f t="shared" si="17"/>
        <v>Angela Williams</v>
      </c>
      <c r="K343" t="str">
        <f t="shared" si="15"/>
        <v>Angela Williams</v>
      </c>
      <c r="S343" s="11" t="s">
        <v>1083</v>
      </c>
      <c r="T343">
        <v>33</v>
      </c>
    </row>
    <row r="344" spans="1:20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  <c r="I344" t="str">
        <f t="shared" si="16"/>
        <v>Bronze</v>
      </c>
      <c r="J344" t="str">
        <f t="shared" si="17"/>
        <v>Michelle Cunningham</v>
      </c>
      <c r="K344" t="str">
        <f t="shared" si="15"/>
        <v>Michelle Cunningham</v>
      </c>
      <c r="S344" s="9" t="s">
        <v>548</v>
      </c>
      <c r="T344">
        <v>39</v>
      </c>
    </row>
    <row r="345" spans="1:20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  <c r="I345" t="str">
        <f t="shared" si="16"/>
        <v>Bronze</v>
      </c>
      <c r="J345" t="str">
        <f t="shared" si="17"/>
        <v>Ryan Moore</v>
      </c>
      <c r="K345" t="str">
        <f t="shared" si="15"/>
        <v>Ryan Moore</v>
      </c>
      <c r="S345" s="10" t="s">
        <v>16</v>
      </c>
      <c r="T345">
        <v>39</v>
      </c>
    </row>
    <row r="346" spans="1:20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  <c r="I346" t="str">
        <f t="shared" si="16"/>
        <v>Gold</v>
      </c>
      <c r="J346" t="str">
        <f t="shared" si="17"/>
        <v>Evelyn Brown</v>
      </c>
      <c r="K346" t="str">
        <f t="shared" si="15"/>
        <v>Evelyn Brown</v>
      </c>
      <c r="S346" s="11" t="s">
        <v>547</v>
      </c>
      <c r="T346">
        <v>39</v>
      </c>
    </row>
    <row r="347" spans="1:20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  <c r="I347" t="str">
        <f t="shared" si="16"/>
        <v>Bronze</v>
      </c>
      <c r="J347" t="str">
        <f t="shared" si="17"/>
        <v>Daniel Nelson</v>
      </c>
      <c r="K347" t="str">
        <f t="shared" si="15"/>
        <v>Daniel Nelson</v>
      </c>
      <c r="S347" s="9" t="s">
        <v>1514</v>
      </c>
      <c r="T347">
        <v>59</v>
      </c>
    </row>
    <row r="348" spans="1:20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  <c r="I348" t="str">
        <f t="shared" si="16"/>
        <v>Platinum</v>
      </c>
      <c r="J348" t="str">
        <f t="shared" si="17"/>
        <v>John Jordan</v>
      </c>
      <c r="K348" t="str">
        <f t="shared" si="15"/>
        <v>John Jordan</v>
      </c>
      <c r="S348" s="10" t="s">
        <v>16</v>
      </c>
      <c r="T348">
        <v>59</v>
      </c>
    </row>
    <row r="349" spans="1:20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  <c r="I349" t="str">
        <f t="shared" si="16"/>
        <v>Gold</v>
      </c>
      <c r="J349" t="str">
        <f t="shared" si="17"/>
        <v>Justin Mason Dds</v>
      </c>
      <c r="K349" t="str">
        <f t="shared" si="15"/>
        <v>Justin Mason Dds</v>
      </c>
      <c r="S349" s="11" t="s">
        <v>1513</v>
      </c>
      <c r="T349">
        <v>59</v>
      </c>
    </row>
    <row r="350" spans="1:20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  <c r="I350" t="str">
        <f t="shared" si="16"/>
        <v>Silver</v>
      </c>
      <c r="J350" t="str">
        <f t="shared" si="17"/>
        <v>Sherry Cabrera</v>
      </c>
      <c r="K350" t="str">
        <f t="shared" si="15"/>
        <v>Sherry Cabrera</v>
      </c>
      <c r="S350" s="9" t="s">
        <v>1012</v>
      </c>
      <c r="T350">
        <v>21</v>
      </c>
    </row>
    <row r="351" spans="1:20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  <c r="I351" t="str">
        <f t="shared" si="16"/>
        <v>Bronze</v>
      </c>
      <c r="J351" t="str">
        <f t="shared" si="17"/>
        <v>Heather Valenzuela</v>
      </c>
      <c r="K351" t="str">
        <f t="shared" si="15"/>
        <v>Heather Valenzuela</v>
      </c>
      <c r="S351" s="10" t="s">
        <v>16</v>
      </c>
      <c r="T351">
        <v>21</v>
      </c>
    </row>
    <row r="352" spans="1:20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  <c r="I352" t="str">
        <f t="shared" si="16"/>
        <v>Silver</v>
      </c>
      <c r="J352" t="str">
        <f t="shared" si="17"/>
        <v>Charles Miller</v>
      </c>
      <c r="K352" t="str">
        <f t="shared" si="15"/>
        <v>Charles Miller</v>
      </c>
      <c r="S352" s="11" t="s">
        <v>1011</v>
      </c>
      <c r="T352">
        <v>21</v>
      </c>
    </row>
    <row r="353" spans="1:20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  <c r="I353" t="str">
        <f t="shared" si="16"/>
        <v>Bronze</v>
      </c>
      <c r="J353" t="str">
        <f t="shared" si="17"/>
        <v>Jeffrey Mccarthy</v>
      </c>
      <c r="K353" t="str">
        <f t="shared" si="15"/>
        <v>Jeffrey Mccarthy</v>
      </c>
      <c r="S353" s="9" t="s">
        <v>122</v>
      </c>
      <c r="T353">
        <v>54</v>
      </c>
    </row>
    <row r="354" spans="1:20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  <c r="I354" t="str">
        <f t="shared" si="16"/>
        <v>Silver</v>
      </c>
      <c r="J354" t="str">
        <f t="shared" si="17"/>
        <v>Michael Greene</v>
      </c>
      <c r="K354" t="str">
        <f t="shared" si="15"/>
        <v>Michael Greene</v>
      </c>
      <c r="S354" s="10" t="s">
        <v>16</v>
      </c>
      <c r="T354">
        <v>54</v>
      </c>
    </row>
    <row r="355" spans="1:20" x14ac:dyDescent="0.25">
      <c r="A355" t="s">
        <v>1107</v>
      </c>
      <c r="B355" t="s">
        <v>1543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  <c r="I355" t="str">
        <f t="shared" si="16"/>
        <v>Platinum</v>
      </c>
      <c r="J355" t="str">
        <f t="shared" si="17"/>
        <v xml:space="preserve">   Laura Green</v>
      </c>
      <c r="K355" t="str">
        <f t="shared" si="15"/>
        <v>Laura Green</v>
      </c>
      <c r="S355" s="11" t="s">
        <v>121</v>
      </c>
      <c r="T355">
        <v>54</v>
      </c>
    </row>
    <row r="356" spans="1:20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  <c r="I356" t="str">
        <f t="shared" si="16"/>
        <v>Silver</v>
      </c>
      <c r="J356" t="str">
        <f t="shared" si="17"/>
        <v>Ryan Torres</v>
      </c>
      <c r="K356" t="str">
        <f t="shared" si="15"/>
        <v>Ryan Torres</v>
      </c>
      <c r="S356" s="9" t="s">
        <v>348</v>
      </c>
      <c r="T356">
        <v>36</v>
      </c>
    </row>
    <row r="357" spans="1:20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  <c r="I357" t="str">
        <f t="shared" si="16"/>
        <v>Gold</v>
      </c>
      <c r="J357" t="str">
        <f t="shared" si="17"/>
        <v>Carlos Flores</v>
      </c>
      <c r="K357" t="str">
        <f t="shared" si="15"/>
        <v>Carlos Flores</v>
      </c>
      <c r="S357" s="10" t="s">
        <v>9</v>
      </c>
      <c r="T357">
        <v>36</v>
      </c>
    </row>
    <row r="358" spans="1:20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  <c r="I358" t="str">
        <f t="shared" si="16"/>
        <v>Bronze</v>
      </c>
      <c r="J358" t="str">
        <f t="shared" si="17"/>
        <v>Steve Hunt</v>
      </c>
      <c r="K358" t="str">
        <f t="shared" si="15"/>
        <v>Steve Hunt</v>
      </c>
      <c r="S358" s="11" t="s">
        <v>347</v>
      </c>
      <c r="T358">
        <v>36</v>
      </c>
    </row>
    <row r="359" spans="1:20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  <c r="I359" t="str">
        <f t="shared" si="16"/>
        <v>Gold</v>
      </c>
      <c r="J359" t="str">
        <f t="shared" si="17"/>
        <v>Manuel Castillo</v>
      </c>
      <c r="K359" t="str">
        <f t="shared" si="15"/>
        <v>Manuel Castillo</v>
      </c>
      <c r="S359" s="9" t="s">
        <v>394</v>
      </c>
      <c r="T359">
        <v>27</v>
      </c>
    </row>
    <row r="360" spans="1:20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  <c r="I360" t="str">
        <f t="shared" si="16"/>
        <v>Gold</v>
      </c>
      <c r="J360" t="str">
        <f t="shared" si="17"/>
        <v>Ashley Anderson</v>
      </c>
      <c r="K360" t="str">
        <f t="shared" si="15"/>
        <v>Ashley Anderson</v>
      </c>
      <c r="S360" s="10" t="s">
        <v>16</v>
      </c>
      <c r="T360">
        <v>27</v>
      </c>
    </row>
    <row r="361" spans="1:20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  <c r="I361" t="str">
        <f t="shared" si="16"/>
        <v>Silver</v>
      </c>
      <c r="J361" t="str">
        <f t="shared" si="17"/>
        <v>Melanie Lam</v>
      </c>
      <c r="K361" t="str">
        <f t="shared" si="15"/>
        <v>Melanie Lam</v>
      </c>
      <c r="S361" s="11" t="s">
        <v>393</v>
      </c>
      <c r="T361">
        <v>27</v>
      </c>
    </row>
    <row r="362" spans="1:20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  <c r="I362" t="str">
        <f t="shared" si="16"/>
        <v>Platinum</v>
      </c>
      <c r="J362" t="str">
        <f t="shared" si="17"/>
        <v>Denise Tate</v>
      </c>
      <c r="K362" t="str">
        <f t="shared" si="15"/>
        <v>Denise Tate</v>
      </c>
      <c r="S362" s="9" t="s">
        <v>1264</v>
      </c>
      <c r="T362">
        <v>23</v>
      </c>
    </row>
    <row r="363" spans="1:20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  <c r="I363" t="str">
        <f t="shared" si="16"/>
        <v>Platinum</v>
      </c>
      <c r="J363" t="str">
        <f t="shared" si="17"/>
        <v>Natalie Johnson</v>
      </c>
      <c r="K363" t="str">
        <f t="shared" si="15"/>
        <v>Natalie Johnson</v>
      </c>
      <c r="S363" s="10" t="s">
        <v>16</v>
      </c>
      <c r="T363">
        <v>23</v>
      </c>
    </row>
    <row r="364" spans="1:20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  <c r="I364" t="str">
        <f t="shared" si="16"/>
        <v>Gold</v>
      </c>
      <c r="J364" t="str">
        <f t="shared" si="17"/>
        <v>Joshua Smith Dvm</v>
      </c>
      <c r="K364" t="str">
        <f t="shared" si="15"/>
        <v>Joshua Smith Dvm</v>
      </c>
      <c r="S364" s="11" t="s">
        <v>1263</v>
      </c>
      <c r="T364">
        <v>23</v>
      </c>
    </row>
    <row r="365" spans="1:20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  <c r="I365" t="str">
        <f t="shared" si="16"/>
        <v>Bronze</v>
      </c>
      <c r="J365" t="str">
        <f t="shared" si="17"/>
        <v>Elizabeth Smith</v>
      </c>
      <c r="K365" t="str">
        <f t="shared" si="15"/>
        <v>Elizabeth Smith</v>
      </c>
      <c r="S365" s="9" t="s">
        <v>339</v>
      </c>
      <c r="T365">
        <v>43</v>
      </c>
    </row>
    <row r="366" spans="1:20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  <c r="I366" t="str">
        <f t="shared" si="16"/>
        <v>Bronze</v>
      </c>
      <c r="J366" t="str">
        <f t="shared" si="17"/>
        <v>Chloe Aguilar</v>
      </c>
      <c r="K366" t="str">
        <f t="shared" si="15"/>
        <v>Chloe Aguilar</v>
      </c>
      <c r="S366" s="10" t="s">
        <v>16</v>
      </c>
      <c r="T366">
        <v>43</v>
      </c>
    </row>
    <row r="367" spans="1:20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  <c r="I367" t="str">
        <f t="shared" si="16"/>
        <v>Platinum</v>
      </c>
      <c r="J367" t="str">
        <f t="shared" si="17"/>
        <v>Brandon Mcbride</v>
      </c>
      <c r="K367" t="str">
        <f t="shared" si="15"/>
        <v>Brandon Mcbride</v>
      </c>
      <c r="S367" s="11" t="s">
        <v>338</v>
      </c>
      <c r="T367">
        <v>43</v>
      </c>
    </row>
    <row r="368" spans="1:20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  <c r="I368" t="str">
        <f t="shared" si="16"/>
        <v>Platinum</v>
      </c>
      <c r="J368" t="str">
        <f t="shared" si="17"/>
        <v>Mallory Allen</v>
      </c>
      <c r="K368" t="str">
        <f t="shared" si="15"/>
        <v>Mallory Allen</v>
      </c>
      <c r="S368" s="9" t="s">
        <v>1432</v>
      </c>
      <c r="T368">
        <v>45</v>
      </c>
    </row>
    <row r="369" spans="1:20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  <c r="I369" t="str">
        <f t="shared" si="16"/>
        <v>Bronze</v>
      </c>
      <c r="J369" t="str">
        <f t="shared" si="17"/>
        <v>Melinda Johnson</v>
      </c>
      <c r="K369" t="str">
        <f t="shared" si="15"/>
        <v>Melinda Johnson</v>
      </c>
      <c r="S369" s="10" t="s">
        <v>16</v>
      </c>
      <c r="T369">
        <v>45</v>
      </c>
    </row>
    <row r="370" spans="1:20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  <c r="I370" t="str">
        <f t="shared" si="16"/>
        <v>Platinum</v>
      </c>
      <c r="J370" t="str">
        <f t="shared" si="17"/>
        <v>Miranda King</v>
      </c>
      <c r="K370" t="str">
        <f t="shared" si="15"/>
        <v>Miranda King</v>
      </c>
      <c r="S370" s="11" t="s">
        <v>1431</v>
      </c>
      <c r="T370">
        <v>45</v>
      </c>
    </row>
    <row r="371" spans="1:20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  <c r="I371" t="str">
        <f t="shared" si="16"/>
        <v>Platinum</v>
      </c>
      <c r="J371" t="str">
        <f t="shared" si="17"/>
        <v>Gregory Allen</v>
      </c>
      <c r="K371" t="str">
        <f t="shared" si="15"/>
        <v>Gregory Allen</v>
      </c>
      <c r="S371" s="9" t="s">
        <v>635</v>
      </c>
      <c r="T371">
        <v>38</v>
      </c>
    </row>
    <row r="372" spans="1:20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  <c r="I372" t="str">
        <f t="shared" si="16"/>
        <v>Silver</v>
      </c>
      <c r="J372" t="str">
        <f t="shared" si="17"/>
        <v>James Holloway Jr.</v>
      </c>
      <c r="K372" t="str">
        <f t="shared" si="15"/>
        <v>James Holloway Jr.</v>
      </c>
      <c r="S372" s="10" t="s">
        <v>9</v>
      </c>
      <c r="T372">
        <v>38</v>
      </c>
    </row>
    <row r="373" spans="1:20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  <c r="I373" t="str">
        <f t="shared" si="16"/>
        <v>Platinum</v>
      </c>
      <c r="J373" t="str">
        <f t="shared" si="17"/>
        <v>Michael Garner</v>
      </c>
      <c r="K373" t="str">
        <f t="shared" si="15"/>
        <v>Michael Garner</v>
      </c>
      <c r="S373" s="11" t="s">
        <v>634</v>
      </c>
      <c r="T373">
        <v>38</v>
      </c>
    </row>
    <row r="374" spans="1:20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  <c r="I374" t="str">
        <f t="shared" si="16"/>
        <v>Bronze</v>
      </c>
      <c r="J374" t="str">
        <f t="shared" si="17"/>
        <v>Jacqueline Anthony</v>
      </c>
      <c r="K374" t="str">
        <f t="shared" si="15"/>
        <v>Jacqueline Anthony</v>
      </c>
      <c r="S374" s="9" t="s">
        <v>1258</v>
      </c>
      <c r="T374">
        <v>22</v>
      </c>
    </row>
    <row r="375" spans="1:20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  <c r="I375" t="str">
        <f t="shared" si="16"/>
        <v>Gold</v>
      </c>
      <c r="J375" t="str">
        <f t="shared" si="17"/>
        <v>James Orozco</v>
      </c>
      <c r="K375" t="str">
        <f t="shared" si="15"/>
        <v>James Orozco</v>
      </c>
      <c r="S375" s="10" t="s">
        <v>16</v>
      </c>
      <c r="T375">
        <v>22</v>
      </c>
    </row>
    <row r="376" spans="1:20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  <c r="I376" t="str">
        <f t="shared" si="16"/>
        <v>Platinum</v>
      </c>
      <c r="J376" t="str">
        <f t="shared" si="17"/>
        <v>Emma Wilson</v>
      </c>
      <c r="K376" t="str">
        <f t="shared" si="15"/>
        <v>Emma Wilson</v>
      </c>
      <c r="S376" s="11" t="s">
        <v>1257</v>
      </c>
      <c r="T376">
        <v>22</v>
      </c>
    </row>
    <row r="377" spans="1:20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  <c r="I377" t="str">
        <f t="shared" si="16"/>
        <v>Platinum</v>
      </c>
      <c r="J377" t="str">
        <f t="shared" si="17"/>
        <v>Joshua Bell</v>
      </c>
      <c r="K377" t="str">
        <f t="shared" si="15"/>
        <v>Joshua Bell</v>
      </c>
      <c r="S377" s="9" t="s">
        <v>151</v>
      </c>
      <c r="T377">
        <v>35</v>
      </c>
    </row>
    <row r="378" spans="1:20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  <c r="I378" t="str">
        <f t="shared" si="16"/>
        <v>Bronze</v>
      </c>
      <c r="J378" t="str">
        <f t="shared" si="17"/>
        <v>Michele Burke</v>
      </c>
      <c r="K378" t="str">
        <f t="shared" si="15"/>
        <v>Michele Burke</v>
      </c>
      <c r="S378" s="10" t="s">
        <v>16</v>
      </c>
      <c r="T378">
        <v>35</v>
      </c>
    </row>
    <row r="379" spans="1:20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  <c r="I379" t="str">
        <f t="shared" si="16"/>
        <v>Gold</v>
      </c>
      <c r="J379" t="str">
        <f t="shared" si="17"/>
        <v>Charles Conley</v>
      </c>
      <c r="K379" t="str">
        <f t="shared" si="15"/>
        <v>Charles Conley</v>
      </c>
      <c r="S379" s="11" t="s">
        <v>150</v>
      </c>
      <c r="T379">
        <v>35</v>
      </c>
    </row>
    <row r="380" spans="1:20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  <c r="I380" t="str">
        <f t="shared" si="16"/>
        <v>Bronze</v>
      </c>
      <c r="J380" t="str">
        <f t="shared" si="17"/>
        <v>Frank Stewart</v>
      </c>
      <c r="K380" t="str">
        <f t="shared" si="15"/>
        <v>Frank Stewart</v>
      </c>
      <c r="S380" s="9" t="s">
        <v>199</v>
      </c>
      <c r="T380">
        <v>55</v>
      </c>
    </row>
    <row r="381" spans="1:20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  <c r="I381" t="str">
        <f t="shared" si="16"/>
        <v>Gold</v>
      </c>
      <c r="J381" t="str">
        <f t="shared" si="17"/>
        <v>Tanya Lopez</v>
      </c>
      <c r="K381" t="str">
        <f t="shared" si="15"/>
        <v>Tanya Lopez</v>
      </c>
      <c r="S381" s="10" t="s">
        <v>9</v>
      </c>
      <c r="T381">
        <v>55</v>
      </c>
    </row>
    <row r="382" spans="1:20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  <c r="I382" t="str">
        <f t="shared" si="16"/>
        <v>Gold</v>
      </c>
      <c r="J382" t="str">
        <f t="shared" si="17"/>
        <v>Shelley Ponce</v>
      </c>
      <c r="K382" t="str">
        <f t="shared" si="15"/>
        <v>Shelley Ponce</v>
      </c>
      <c r="S382" s="11" t="s">
        <v>198</v>
      </c>
      <c r="T382">
        <v>55</v>
      </c>
    </row>
    <row r="383" spans="1:20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  <c r="I383" t="str">
        <f t="shared" si="16"/>
        <v>Silver</v>
      </c>
      <c r="J383" t="str">
        <f t="shared" si="17"/>
        <v>Erika Padilla</v>
      </c>
      <c r="K383" t="str">
        <f t="shared" si="15"/>
        <v>Erika Padilla</v>
      </c>
      <c r="S383" s="9" t="s">
        <v>1453</v>
      </c>
      <c r="T383">
        <v>42</v>
      </c>
    </row>
    <row r="384" spans="1:20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  <c r="I384" t="str">
        <f t="shared" si="16"/>
        <v>Gold</v>
      </c>
      <c r="J384" t="str">
        <f t="shared" si="17"/>
        <v>Martha Brown</v>
      </c>
      <c r="K384" t="str">
        <f t="shared" si="15"/>
        <v>Martha Brown</v>
      </c>
      <c r="S384" s="10" t="s">
        <v>9</v>
      </c>
      <c r="T384">
        <v>42</v>
      </c>
    </row>
    <row r="385" spans="1:20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  <c r="I385" t="str">
        <f t="shared" si="16"/>
        <v>Silver</v>
      </c>
      <c r="J385" t="str">
        <f t="shared" si="17"/>
        <v>Kristine Higgins</v>
      </c>
      <c r="K385" t="str">
        <f t="shared" si="15"/>
        <v>Kristine Higgins</v>
      </c>
      <c r="S385" s="11" t="s">
        <v>1452</v>
      </c>
      <c r="T385">
        <v>42</v>
      </c>
    </row>
    <row r="386" spans="1:20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  <c r="I386" t="str">
        <f t="shared" si="16"/>
        <v>Bronze</v>
      </c>
      <c r="J386" t="str">
        <f t="shared" si="17"/>
        <v>Andrew Mason</v>
      </c>
      <c r="K386" t="str">
        <f t="shared" ref="K386:K449" si="18">TRIM(J386)</f>
        <v>Andrew Mason</v>
      </c>
      <c r="S386" s="9" t="s">
        <v>503</v>
      </c>
      <c r="T386">
        <v>33</v>
      </c>
    </row>
    <row r="387" spans="1:20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  <c r="I387" t="str">
        <f t="shared" ref="I387:I450" si="19">IF(ISBLANK(H387),"Unknown",H387)</f>
        <v>Gold</v>
      </c>
      <c r="J387" t="str">
        <f t="shared" ref="J387:J450" si="20">PROPER(B387)</f>
        <v>Tammy Brennan</v>
      </c>
      <c r="K387" t="str">
        <f t="shared" si="18"/>
        <v>Tammy Brennan</v>
      </c>
      <c r="S387" s="10" t="s">
        <v>9</v>
      </c>
      <c r="T387">
        <v>33</v>
      </c>
    </row>
    <row r="388" spans="1:20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  <c r="I388" t="str">
        <f t="shared" si="19"/>
        <v>Bronze</v>
      </c>
      <c r="J388" t="str">
        <f t="shared" si="20"/>
        <v>Melanie Mitchell</v>
      </c>
      <c r="K388" t="str">
        <f t="shared" si="18"/>
        <v>Melanie Mitchell</v>
      </c>
      <c r="S388" s="11" t="s">
        <v>502</v>
      </c>
      <c r="T388">
        <v>33</v>
      </c>
    </row>
    <row r="389" spans="1:20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  <c r="I389" t="str">
        <f t="shared" si="19"/>
        <v>Silver</v>
      </c>
      <c r="J389" t="str">
        <f t="shared" si="20"/>
        <v>Timothy Gardner</v>
      </c>
      <c r="K389" t="str">
        <f t="shared" si="18"/>
        <v>Timothy Gardner</v>
      </c>
      <c r="S389" s="9" t="s">
        <v>1128</v>
      </c>
      <c r="T389">
        <v>34</v>
      </c>
    </row>
    <row r="390" spans="1:20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  <c r="I390" t="str">
        <f t="shared" si="19"/>
        <v>Platinum</v>
      </c>
      <c r="J390" t="str">
        <f t="shared" si="20"/>
        <v>Timothy Valenzuela</v>
      </c>
      <c r="K390" t="str">
        <f t="shared" si="18"/>
        <v>Timothy Valenzuela</v>
      </c>
      <c r="S390" s="10" t="s">
        <v>9</v>
      </c>
      <c r="T390">
        <v>34</v>
      </c>
    </row>
    <row r="391" spans="1:20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  <c r="I391" t="str">
        <f t="shared" si="19"/>
        <v>Platinum</v>
      </c>
      <c r="J391" t="str">
        <f t="shared" si="20"/>
        <v>Cynthia Lopez</v>
      </c>
      <c r="K391" t="str">
        <f t="shared" si="18"/>
        <v>Cynthia Lopez</v>
      </c>
      <c r="S391" s="11" t="s">
        <v>1127</v>
      </c>
      <c r="T391">
        <v>34</v>
      </c>
    </row>
    <row r="392" spans="1:20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  <c r="I392" t="str">
        <f t="shared" si="19"/>
        <v>Silver</v>
      </c>
      <c r="J392" t="str">
        <f t="shared" si="20"/>
        <v>Daniel Bell</v>
      </c>
      <c r="K392" t="str">
        <f t="shared" si="18"/>
        <v>Daniel Bell</v>
      </c>
      <c r="S392" s="9" t="s">
        <v>173</v>
      </c>
      <c r="T392">
        <v>34</v>
      </c>
    </row>
    <row r="393" spans="1:20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  <c r="I393" t="str">
        <f t="shared" si="19"/>
        <v>Bronze</v>
      </c>
      <c r="J393" t="str">
        <f t="shared" si="20"/>
        <v>Heidi Tyler</v>
      </c>
      <c r="K393" t="str">
        <f t="shared" si="18"/>
        <v>Heidi Tyler</v>
      </c>
      <c r="S393" s="10" t="s">
        <v>9</v>
      </c>
      <c r="T393">
        <v>34</v>
      </c>
    </row>
    <row r="394" spans="1:20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  <c r="I394" t="str">
        <f t="shared" si="19"/>
        <v>Gold</v>
      </c>
      <c r="J394" t="str">
        <f t="shared" si="20"/>
        <v>Jacqueline Payne</v>
      </c>
      <c r="K394" t="str">
        <f t="shared" si="18"/>
        <v>Jacqueline Payne</v>
      </c>
      <c r="S394" s="11" t="s">
        <v>172</v>
      </c>
      <c r="T394">
        <v>34</v>
      </c>
    </row>
    <row r="395" spans="1:20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  <c r="I395" t="str">
        <f t="shared" si="19"/>
        <v>Bronze</v>
      </c>
      <c r="J395" t="str">
        <f t="shared" si="20"/>
        <v>Michael Mcneil</v>
      </c>
      <c r="K395" t="str">
        <f t="shared" si="18"/>
        <v>Michael Mcneil</v>
      </c>
      <c r="S395" s="9" t="s">
        <v>108</v>
      </c>
      <c r="T395">
        <v>59</v>
      </c>
    </row>
    <row r="396" spans="1:20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  <c r="I396" t="str">
        <f t="shared" si="19"/>
        <v>Bronze</v>
      </c>
      <c r="J396" t="str">
        <f t="shared" si="20"/>
        <v>Alejandro Evans</v>
      </c>
      <c r="K396" t="str">
        <f t="shared" si="18"/>
        <v>Alejandro Evans</v>
      </c>
      <c r="S396" s="10" t="s">
        <v>16</v>
      </c>
      <c r="T396">
        <v>59</v>
      </c>
    </row>
    <row r="397" spans="1:20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  <c r="I397" t="str">
        <f t="shared" si="19"/>
        <v>Gold</v>
      </c>
      <c r="J397" t="str">
        <f t="shared" si="20"/>
        <v>Brandon Mcguire</v>
      </c>
      <c r="K397" t="str">
        <f t="shared" si="18"/>
        <v>Brandon Mcguire</v>
      </c>
      <c r="S397" s="11" t="s">
        <v>107</v>
      </c>
      <c r="T397">
        <v>59</v>
      </c>
    </row>
    <row r="398" spans="1:20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  <c r="I398" t="str">
        <f t="shared" si="19"/>
        <v>Silver</v>
      </c>
      <c r="J398" t="str">
        <f t="shared" si="20"/>
        <v>Alexander Byrd</v>
      </c>
      <c r="K398" t="str">
        <f t="shared" si="18"/>
        <v>Alexander Byrd</v>
      </c>
      <c r="S398" s="9" t="s">
        <v>357</v>
      </c>
      <c r="T398">
        <v>53</v>
      </c>
    </row>
    <row r="399" spans="1:20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  <c r="I399" t="str">
        <f t="shared" si="19"/>
        <v>Platinum</v>
      </c>
      <c r="J399" t="str">
        <f t="shared" si="20"/>
        <v>Charles Norman Phd</v>
      </c>
      <c r="K399" t="str">
        <f t="shared" si="18"/>
        <v>Charles Norman Phd</v>
      </c>
      <c r="S399" s="10" t="s">
        <v>16</v>
      </c>
      <c r="T399">
        <v>53</v>
      </c>
    </row>
    <row r="400" spans="1:20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  <c r="I400" t="str">
        <f t="shared" si="19"/>
        <v>Bronze</v>
      </c>
      <c r="J400" t="str">
        <f t="shared" si="20"/>
        <v>Jennifer Johnson</v>
      </c>
      <c r="K400" t="str">
        <f t="shared" si="18"/>
        <v>Jennifer Johnson</v>
      </c>
      <c r="S400" s="11" t="s">
        <v>356</v>
      </c>
      <c r="T400">
        <v>53</v>
      </c>
    </row>
    <row r="401" spans="1:20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  <c r="I401" t="str">
        <f t="shared" si="19"/>
        <v>Bronze</v>
      </c>
      <c r="J401" t="str">
        <f t="shared" si="20"/>
        <v>John Donaldson</v>
      </c>
      <c r="K401" t="str">
        <f t="shared" si="18"/>
        <v>John Donaldson</v>
      </c>
      <c r="S401" s="9" t="s">
        <v>53</v>
      </c>
      <c r="T401">
        <v>53</v>
      </c>
    </row>
    <row r="402" spans="1:20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  <c r="I402" t="str">
        <f t="shared" si="19"/>
        <v>Platinum</v>
      </c>
      <c r="J402" t="str">
        <f t="shared" si="20"/>
        <v>Mark Rogers</v>
      </c>
      <c r="K402" t="str">
        <f t="shared" si="18"/>
        <v>Mark Rogers</v>
      </c>
      <c r="S402" s="10" t="s">
        <v>9</v>
      </c>
      <c r="T402">
        <v>53</v>
      </c>
    </row>
    <row r="403" spans="1:20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  <c r="I403" t="str">
        <f t="shared" si="19"/>
        <v>Platinum</v>
      </c>
      <c r="J403" t="str">
        <f t="shared" si="20"/>
        <v>Terry Moses</v>
      </c>
      <c r="K403" t="str">
        <f t="shared" si="18"/>
        <v>Terry Moses</v>
      </c>
      <c r="S403" s="11" t="s">
        <v>52</v>
      </c>
      <c r="T403">
        <v>53</v>
      </c>
    </row>
    <row r="404" spans="1:20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  <c r="I404" t="str">
        <f t="shared" si="19"/>
        <v>Bronze</v>
      </c>
      <c r="J404" t="str">
        <f t="shared" si="20"/>
        <v>Cassandra Perez</v>
      </c>
      <c r="K404" t="str">
        <f t="shared" si="18"/>
        <v>Cassandra Perez</v>
      </c>
      <c r="S404" s="9" t="s">
        <v>429</v>
      </c>
      <c r="T404">
        <v>26</v>
      </c>
    </row>
    <row r="405" spans="1:20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  <c r="I405" t="str">
        <f t="shared" si="19"/>
        <v>Bronze</v>
      </c>
      <c r="J405" t="str">
        <f t="shared" si="20"/>
        <v>Justin Ingram</v>
      </c>
      <c r="K405" t="str">
        <f t="shared" si="18"/>
        <v>Justin Ingram</v>
      </c>
      <c r="S405" s="10" t="s">
        <v>9</v>
      </c>
      <c r="T405">
        <v>26</v>
      </c>
    </row>
    <row r="406" spans="1:20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  <c r="I406" t="str">
        <f t="shared" si="19"/>
        <v>Silver</v>
      </c>
      <c r="J406" t="str">
        <f t="shared" si="20"/>
        <v>David Ross</v>
      </c>
      <c r="K406" t="str">
        <f t="shared" si="18"/>
        <v>David Ross</v>
      </c>
      <c r="S406" s="11" t="s">
        <v>428</v>
      </c>
      <c r="T406">
        <v>26</v>
      </c>
    </row>
    <row r="407" spans="1:20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  <c r="I407" t="str">
        <f t="shared" si="19"/>
        <v>Gold</v>
      </c>
      <c r="J407" t="str">
        <f t="shared" si="20"/>
        <v>Eric Wolfe</v>
      </c>
      <c r="K407" t="str">
        <f t="shared" si="18"/>
        <v>Eric Wolfe</v>
      </c>
      <c r="S407" s="9" t="s">
        <v>330</v>
      </c>
      <c r="T407">
        <v>29</v>
      </c>
    </row>
    <row r="408" spans="1:20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  <c r="I408" t="str">
        <f t="shared" si="19"/>
        <v>Gold</v>
      </c>
      <c r="J408" t="str">
        <f t="shared" si="20"/>
        <v>David Lozano</v>
      </c>
      <c r="K408" t="str">
        <f t="shared" si="18"/>
        <v>David Lozano</v>
      </c>
      <c r="S408" s="10" t="s">
        <v>16</v>
      </c>
      <c r="T408">
        <v>29</v>
      </c>
    </row>
    <row r="409" spans="1:20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  <c r="I409" t="str">
        <f t="shared" si="19"/>
        <v>Gold</v>
      </c>
      <c r="J409" t="str">
        <f t="shared" si="20"/>
        <v>Joseph Mendoza</v>
      </c>
      <c r="K409" t="str">
        <f t="shared" si="18"/>
        <v>Joseph Mendoza</v>
      </c>
      <c r="S409" s="11" t="s">
        <v>329</v>
      </c>
      <c r="T409">
        <v>29</v>
      </c>
    </row>
    <row r="410" spans="1:20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  <c r="I410" t="str">
        <f t="shared" si="19"/>
        <v>Gold</v>
      </c>
      <c r="J410" t="str">
        <f t="shared" si="20"/>
        <v>Isabel Foster</v>
      </c>
      <c r="K410" t="str">
        <f t="shared" si="18"/>
        <v>Isabel Foster</v>
      </c>
      <c r="S410" s="9" t="s">
        <v>906</v>
      </c>
      <c r="T410">
        <v>46</v>
      </c>
    </row>
    <row r="411" spans="1:20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  <c r="I411" t="str">
        <f t="shared" si="19"/>
        <v>Gold</v>
      </c>
      <c r="J411" t="str">
        <f t="shared" si="20"/>
        <v>Sarah Smith</v>
      </c>
      <c r="K411" t="str">
        <f t="shared" si="18"/>
        <v>Sarah Smith</v>
      </c>
      <c r="S411" s="10" t="s">
        <v>16</v>
      </c>
      <c r="T411">
        <v>46</v>
      </c>
    </row>
    <row r="412" spans="1:20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  <c r="I412" t="str">
        <f t="shared" si="19"/>
        <v>Bronze</v>
      </c>
      <c r="J412" t="str">
        <f t="shared" si="20"/>
        <v>Jackie Thompson</v>
      </c>
      <c r="K412" t="str">
        <f t="shared" si="18"/>
        <v>Jackie Thompson</v>
      </c>
      <c r="S412" s="11" t="s">
        <v>905</v>
      </c>
      <c r="T412">
        <v>46</v>
      </c>
    </row>
    <row r="413" spans="1:20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  <c r="I413" t="str">
        <f t="shared" si="19"/>
        <v>Silver</v>
      </c>
      <c r="J413" t="str">
        <f t="shared" si="20"/>
        <v>Katrina Perez</v>
      </c>
      <c r="K413" t="str">
        <f t="shared" si="18"/>
        <v>Katrina Perez</v>
      </c>
      <c r="S413" s="9" t="s">
        <v>792</v>
      </c>
      <c r="T413">
        <v>32</v>
      </c>
    </row>
    <row r="414" spans="1:20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  <c r="I414" t="str">
        <f t="shared" si="19"/>
        <v>Gold</v>
      </c>
      <c r="J414" t="str">
        <f t="shared" si="20"/>
        <v>Shane Brown</v>
      </c>
      <c r="K414" t="str">
        <f t="shared" si="18"/>
        <v>Shane Brown</v>
      </c>
      <c r="S414" s="10" t="s">
        <v>9</v>
      </c>
      <c r="T414">
        <v>32</v>
      </c>
    </row>
    <row r="415" spans="1:20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  <c r="I415" t="str">
        <f t="shared" si="19"/>
        <v>Bronze</v>
      </c>
      <c r="J415" t="str">
        <f t="shared" si="20"/>
        <v>Megan Ryan</v>
      </c>
      <c r="K415" t="str">
        <f t="shared" si="18"/>
        <v>Megan Ryan</v>
      </c>
      <c r="S415" s="11" t="s">
        <v>791</v>
      </c>
      <c r="T415">
        <v>32</v>
      </c>
    </row>
    <row r="416" spans="1:20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  <c r="I416" t="str">
        <f t="shared" si="19"/>
        <v>Gold</v>
      </c>
      <c r="J416" t="str">
        <f t="shared" si="20"/>
        <v>Melissa Valentine</v>
      </c>
      <c r="K416" t="str">
        <f t="shared" si="18"/>
        <v>Melissa Valentine</v>
      </c>
      <c r="S416" s="9" t="s">
        <v>1569</v>
      </c>
      <c r="T416">
        <v>32</v>
      </c>
    </row>
    <row r="417" spans="1:20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  <c r="I417" t="str">
        <f t="shared" si="19"/>
        <v>Silver</v>
      </c>
      <c r="J417" t="str">
        <f t="shared" si="20"/>
        <v>Tyler Cook</v>
      </c>
      <c r="K417" t="str">
        <f t="shared" si="18"/>
        <v>Tyler Cook</v>
      </c>
      <c r="S417" s="10" t="s">
        <v>9</v>
      </c>
      <c r="T417">
        <v>32</v>
      </c>
    </row>
    <row r="418" spans="1:20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  <c r="I418" t="str">
        <f t="shared" si="19"/>
        <v>Platinum</v>
      </c>
      <c r="J418" t="str">
        <f t="shared" si="20"/>
        <v>Jennifer Myers</v>
      </c>
      <c r="K418" t="str">
        <f t="shared" si="18"/>
        <v>Jennifer Myers</v>
      </c>
      <c r="S418" s="11" t="s">
        <v>809</v>
      </c>
      <c r="T418">
        <v>32</v>
      </c>
    </row>
    <row r="419" spans="1:20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  <c r="I419" t="str">
        <f t="shared" si="19"/>
        <v>Bronze</v>
      </c>
      <c r="J419" t="str">
        <f t="shared" si="20"/>
        <v>Karen King</v>
      </c>
      <c r="K419" t="str">
        <f t="shared" si="18"/>
        <v>Karen King</v>
      </c>
      <c r="S419" s="9" t="s">
        <v>1561</v>
      </c>
      <c r="T419">
        <v>29</v>
      </c>
    </row>
    <row r="420" spans="1:20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  <c r="I420" t="str">
        <f t="shared" si="19"/>
        <v>Silver</v>
      </c>
      <c r="J420" t="str">
        <f t="shared" si="20"/>
        <v>Luke Parks</v>
      </c>
      <c r="K420" t="str">
        <f t="shared" si="18"/>
        <v>Luke Parks</v>
      </c>
      <c r="S420" s="10" t="s">
        <v>16</v>
      </c>
      <c r="T420">
        <v>29</v>
      </c>
    </row>
    <row r="421" spans="1:20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  <c r="I421" t="str">
        <f t="shared" si="19"/>
        <v>Gold</v>
      </c>
      <c r="J421" t="str">
        <f t="shared" si="20"/>
        <v>Monica Miller</v>
      </c>
      <c r="K421" t="str">
        <f t="shared" si="18"/>
        <v>Monica Miller</v>
      </c>
      <c r="S421" s="11" t="s">
        <v>20</v>
      </c>
      <c r="T421">
        <v>29</v>
      </c>
    </row>
    <row r="422" spans="1:20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  <c r="I422" t="str">
        <f t="shared" si="19"/>
        <v>Bronze</v>
      </c>
      <c r="J422" t="str">
        <f t="shared" si="20"/>
        <v>Dr. Tamara White Md</v>
      </c>
      <c r="K422" t="str">
        <f t="shared" si="18"/>
        <v>Dr. Tamara White Md</v>
      </c>
      <c r="S422" s="9" t="s">
        <v>225</v>
      </c>
      <c r="T422">
        <v>22</v>
      </c>
    </row>
    <row r="423" spans="1:20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  <c r="I423" t="str">
        <f t="shared" si="19"/>
        <v>Platinum</v>
      </c>
      <c r="J423" t="str">
        <f t="shared" si="20"/>
        <v>Holly Robinson</v>
      </c>
      <c r="K423" t="str">
        <f t="shared" si="18"/>
        <v>Holly Robinson</v>
      </c>
      <c r="S423" s="10" t="s">
        <v>16</v>
      </c>
      <c r="T423">
        <v>22</v>
      </c>
    </row>
    <row r="424" spans="1:20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  <c r="I424" t="str">
        <f t="shared" si="19"/>
        <v>Platinum</v>
      </c>
      <c r="J424" t="str">
        <f t="shared" si="20"/>
        <v>Brittany Edwards Dds</v>
      </c>
      <c r="K424" t="str">
        <f t="shared" si="18"/>
        <v>Brittany Edwards Dds</v>
      </c>
      <c r="S424" s="11" t="s">
        <v>224</v>
      </c>
      <c r="T424">
        <v>22</v>
      </c>
    </row>
    <row r="425" spans="1:20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  <c r="I425" t="str">
        <f t="shared" si="19"/>
        <v>Silver</v>
      </c>
      <c r="J425" t="str">
        <f t="shared" si="20"/>
        <v>Rebecca Baker</v>
      </c>
      <c r="K425" t="str">
        <f t="shared" si="18"/>
        <v>Rebecca Baker</v>
      </c>
      <c r="S425" s="9" t="s">
        <v>1045</v>
      </c>
      <c r="T425">
        <v>34</v>
      </c>
    </row>
    <row r="426" spans="1:20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  <c r="I426" t="str">
        <f t="shared" si="19"/>
        <v>Bronze</v>
      </c>
      <c r="J426" t="str">
        <f t="shared" si="20"/>
        <v>Edwin Barnes</v>
      </c>
      <c r="K426" t="str">
        <f t="shared" si="18"/>
        <v>Edwin Barnes</v>
      </c>
      <c r="S426" s="10" t="s">
        <v>16</v>
      </c>
      <c r="T426">
        <v>34</v>
      </c>
    </row>
    <row r="427" spans="1:20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  <c r="I427" t="str">
        <f t="shared" si="19"/>
        <v>Bronze</v>
      </c>
      <c r="J427" t="str">
        <f t="shared" si="20"/>
        <v>Bryce Hawkins</v>
      </c>
      <c r="K427" t="str">
        <f t="shared" si="18"/>
        <v>Bryce Hawkins</v>
      </c>
      <c r="S427" s="11" t="s">
        <v>1044</v>
      </c>
      <c r="T427">
        <v>34</v>
      </c>
    </row>
    <row r="428" spans="1:20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  <c r="I428" t="str">
        <f t="shared" si="19"/>
        <v>Platinum</v>
      </c>
      <c r="J428" t="str">
        <f t="shared" si="20"/>
        <v>Jeanette Nichols</v>
      </c>
      <c r="K428" t="str">
        <f t="shared" si="18"/>
        <v>Jeanette Nichols</v>
      </c>
      <c r="S428" s="9" t="s">
        <v>617</v>
      </c>
      <c r="T428">
        <v>60</v>
      </c>
    </row>
    <row r="429" spans="1:20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  <c r="I429" t="str">
        <f t="shared" si="19"/>
        <v>Gold</v>
      </c>
      <c r="J429" t="str">
        <f t="shared" si="20"/>
        <v>Jose Stewart</v>
      </c>
      <c r="K429" t="str">
        <f t="shared" si="18"/>
        <v>Jose Stewart</v>
      </c>
      <c r="S429" s="10" t="s">
        <v>16</v>
      </c>
      <c r="T429">
        <v>60</v>
      </c>
    </row>
    <row r="430" spans="1:20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  <c r="I430" t="str">
        <f t="shared" si="19"/>
        <v>Bronze</v>
      </c>
      <c r="J430" t="str">
        <f t="shared" si="20"/>
        <v>Samuel Mullins</v>
      </c>
      <c r="K430" t="str">
        <f t="shared" si="18"/>
        <v>Samuel Mullins</v>
      </c>
      <c r="S430" s="11" t="s">
        <v>616</v>
      </c>
      <c r="T430">
        <v>60</v>
      </c>
    </row>
    <row r="431" spans="1:20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  <c r="I431" t="str">
        <f t="shared" si="19"/>
        <v>Platinum</v>
      </c>
      <c r="J431" t="str">
        <f t="shared" si="20"/>
        <v>Sean Vang</v>
      </c>
      <c r="K431" t="str">
        <f t="shared" si="18"/>
        <v>Sean Vang</v>
      </c>
      <c r="S431" s="9" t="s">
        <v>1567</v>
      </c>
      <c r="T431">
        <v>60</v>
      </c>
    </row>
    <row r="432" spans="1:20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  <c r="I432" t="str">
        <f t="shared" si="19"/>
        <v>Gold</v>
      </c>
      <c r="J432" t="str">
        <f t="shared" si="20"/>
        <v>Kimberly Roberts</v>
      </c>
      <c r="K432" t="str">
        <f t="shared" si="18"/>
        <v>Kimberly Roberts</v>
      </c>
      <c r="S432" s="10" t="s">
        <v>9</v>
      </c>
      <c r="T432">
        <v>60</v>
      </c>
    </row>
    <row r="433" spans="1:20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  <c r="I433" t="str">
        <f t="shared" si="19"/>
        <v>Platinum</v>
      </c>
      <c r="J433" t="str">
        <f t="shared" si="20"/>
        <v>John Smith</v>
      </c>
      <c r="K433" t="str">
        <f t="shared" si="18"/>
        <v>John Smith</v>
      </c>
      <c r="S433" s="11" t="s">
        <v>1304</v>
      </c>
      <c r="T433">
        <v>60</v>
      </c>
    </row>
    <row r="434" spans="1:20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  <c r="I434" t="str">
        <f t="shared" si="19"/>
        <v>Bronze</v>
      </c>
      <c r="J434" t="str">
        <f t="shared" si="20"/>
        <v>Summer Weiss</v>
      </c>
      <c r="K434" t="str">
        <f t="shared" si="18"/>
        <v>Summer Weiss</v>
      </c>
      <c r="S434" s="9" t="s">
        <v>1476</v>
      </c>
      <c r="T434">
        <v>40</v>
      </c>
    </row>
    <row r="435" spans="1:20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  <c r="I435" t="str">
        <f t="shared" si="19"/>
        <v>Silver</v>
      </c>
      <c r="J435" t="str">
        <f t="shared" si="20"/>
        <v>Thomas Moore</v>
      </c>
      <c r="K435" t="str">
        <f t="shared" si="18"/>
        <v>Thomas Moore</v>
      </c>
      <c r="S435" s="10" t="s">
        <v>9</v>
      </c>
      <c r="T435">
        <v>40</v>
      </c>
    </row>
    <row r="436" spans="1:20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  <c r="I436" t="str">
        <f t="shared" si="19"/>
        <v>Gold</v>
      </c>
      <c r="J436" t="str">
        <f t="shared" si="20"/>
        <v>Monique Castro</v>
      </c>
      <c r="K436" t="str">
        <f t="shared" si="18"/>
        <v>Monique Castro</v>
      </c>
      <c r="S436" s="11" t="s">
        <v>1475</v>
      </c>
      <c r="T436">
        <v>40</v>
      </c>
    </row>
    <row r="437" spans="1:20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  <c r="I437" t="str">
        <f t="shared" si="19"/>
        <v>Silver</v>
      </c>
      <c r="J437" t="str">
        <f t="shared" si="20"/>
        <v>Lindsay Beasley</v>
      </c>
      <c r="K437" t="str">
        <f t="shared" si="18"/>
        <v>Lindsay Beasley</v>
      </c>
      <c r="S437" s="9" t="s">
        <v>412</v>
      </c>
      <c r="T437">
        <v>36</v>
      </c>
    </row>
    <row r="438" spans="1:20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  <c r="I438" t="str">
        <f t="shared" si="19"/>
        <v>Gold</v>
      </c>
      <c r="J438" t="str">
        <f t="shared" si="20"/>
        <v>Sharon Simpson</v>
      </c>
      <c r="K438" t="str">
        <f t="shared" si="18"/>
        <v>Sharon Simpson</v>
      </c>
      <c r="S438" s="10" t="s">
        <v>9</v>
      </c>
      <c r="T438">
        <v>36</v>
      </c>
    </row>
    <row r="439" spans="1:20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  <c r="I439" t="str">
        <f t="shared" si="19"/>
        <v>Platinum</v>
      </c>
      <c r="J439" t="str">
        <f t="shared" si="20"/>
        <v>Melinda Rivera</v>
      </c>
      <c r="K439" t="str">
        <f t="shared" si="18"/>
        <v>Melinda Rivera</v>
      </c>
      <c r="S439" s="11" t="s">
        <v>411</v>
      </c>
      <c r="T439">
        <v>36</v>
      </c>
    </row>
    <row r="440" spans="1:20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  <c r="I440" t="str">
        <f t="shared" si="19"/>
        <v>Platinum</v>
      </c>
      <c r="J440" t="str">
        <f t="shared" si="20"/>
        <v>Monica Flynn</v>
      </c>
      <c r="K440" t="str">
        <f t="shared" si="18"/>
        <v>Monica Flynn</v>
      </c>
      <c r="S440" s="9" t="s">
        <v>1575</v>
      </c>
      <c r="T440">
        <v>59</v>
      </c>
    </row>
    <row r="441" spans="1:20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  <c r="I441" t="str">
        <f t="shared" si="19"/>
        <v>Silver</v>
      </c>
      <c r="J441" t="str">
        <f t="shared" si="20"/>
        <v>John Compton</v>
      </c>
      <c r="K441" t="str">
        <f t="shared" si="18"/>
        <v>John Compton</v>
      </c>
      <c r="S441" s="10" t="s">
        <v>9</v>
      </c>
      <c r="T441">
        <v>59</v>
      </c>
    </row>
    <row r="442" spans="1:20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  <c r="I442" t="str">
        <f t="shared" si="19"/>
        <v>Silver</v>
      </c>
      <c r="J442" t="str">
        <f t="shared" si="20"/>
        <v>Tammy Trevino</v>
      </c>
      <c r="K442" t="str">
        <f t="shared" si="18"/>
        <v>Tammy Trevino</v>
      </c>
      <c r="S442" s="11" t="s">
        <v>1472</v>
      </c>
      <c r="T442">
        <v>59</v>
      </c>
    </row>
    <row r="443" spans="1:20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  <c r="I443" t="str">
        <f t="shared" si="19"/>
        <v>Silver</v>
      </c>
      <c r="J443" t="str">
        <f t="shared" si="20"/>
        <v>Dalton Walters</v>
      </c>
      <c r="K443" t="str">
        <f t="shared" si="18"/>
        <v>Dalton Walters</v>
      </c>
      <c r="S443" s="9" t="s">
        <v>955</v>
      </c>
      <c r="T443">
        <v>36</v>
      </c>
    </row>
    <row r="444" spans="1:20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  <c r="I444" t="str">
        <f t="shared" si="19"/>
        <v>Bronze</v>
      </c>
      <c r="J444" t="str">
        <f t="shared" si="20"/>
        <v>Kelli Smith</v>
      </c>
      <c r="K444" t="str">
        <f t="shared" si="18"/>
        <v>Kelli Smith</v>
      </c>
      <c r="S444" s="10" t="s">
        <v>9</v>
      </c>
      <c r="T444">
        <v>36</v>
      </c>
    </row>
    <row r="445" spans="1:20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  <c r="I445" t="str">
        <f t="shared" si="19"/>
        <v>Silver</v>
      </c>
      <c r="J445" t="str">
        <f t="shared" si="20"/>
        <v>Adam Castro</v>
      </c>
      <c r="K445" t="str">
        <f t="shared" si="18"/>
        <v>Adam Castro</v>
      </c>
      <c r="S445" s="11" t="s">
        <v>954</v>
      </c>
      <c r="T445">
        <v>36</v>
      </c>
    </row>
    <row r="446" spans="1:20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  <c r="I446" t="str">
        <f t="shared" si="19"/>
        <v>Gold</v>
      </c>
      <c r="J446" t="str">
        <f t="shared" si="20"/>
        <v>Cheryl Carr</v>
      </c>
      <c r="K446" t="str">
        <f t="shared" si="18"/>
        <v>Cheryl Carr</v>
      </c>
      <c r="S446" s="9" t="s">
        <v>397</v>
      </c>
      <c r="T446">
        <v>51</v>
      </c>
    </row>
    <row r="447" spans="1:20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  <c r="I447" t="str">
        <f t="shared" si="19"/>
        <v>Platinum</v>
      </c>
      <c r="J447" t="str">
        <f t="shared" si="20"/>
        <v>Gene Lee</v>
      </c>
      <c r="K447" t="str">
        <f t="shared" si="18"/>
        <v>Gene Lee</v>
      </c>
      <c r="S447" s="10" t="s">
        <v>9</v>
      </c>
      <c r="T447">
        <v>51</v>
      </c>
    </row>
    <row r="448" spans="1:20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  <c r="I448" t="str">
        <f t="shared" si="19"/>
        <v>Silver</v>
      </c>
      <c r="J448" t="str">
        <f t="shared" si="20"/>
        <v>Shannon Turner</v>
      </c>
      <c r="K448" t="str">
        <f t="shared" si="18"/>
        <v>Shannon Turner</v>
      </c>
      <c r="S448" s="11" t="s">
        <v>396</v>
      </c>
      <c r="T448">
        <v>51</v>
      </c>
    </row>
    <row r="449" spans="1:20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  <c r="I449" t="str">
        <f t="shared" si="19"/>
        <v>Gold</v>
      </c>
      <c r="J449" t="str">
        <f t="shared" si="20"/>
        <v>Monica Wright</v>
      </c>
      <c r="K449" t="str">
        <f t="shared" si="18"/>
        <v>Monica Wright</v>
      </c>
      <c r="S449" s="9" t="s">
        <v>494</v>
      </c>
      <c r="T449">
        <v>32</v>
      </c>
    </row>
    <row r="450" spans="1:20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  <c r="I450" t="str">
        <f t="shared" si="19"/>
        <v>Bronze</v>
      </c>
      <c r="J450" t="str">
        <f t="shared" si="20"/>
        <v>Eric Holmes</v>
      </c>
      <c r="K450" t="str">
        <f t="shared" ref="K450:K501" si="21">TRIM(J450)</f>
        <v>Eric Holmes</v>
      </c>
      <c r="S450" s="10" t="s">
        <v>16</v>
      </c>
      <c r="T450">
        <v>32</v>
      </c>
    </row>
    <row r="451" spans="1:20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  <c r="I451" t="str">
        <f t="shared" ref="I451:I501" si="22">IF(ISBLANK(H451),"Unknown",H451)</f>
        <v>Bronze</v>
      </c>
      <c r="J451" t="str">
        <f t="shared" ref="J451:J501" si="23">PROPER(B451)</f>
        <v>William Cortez</v>
      </c>
      <c r="K451" t="str">
        <f t="shared" si="21"/>
        <v>William Cortez</v>
      </c>
      <c r="S451" s="11" t="s">
        <v>493</v>
      </c>
      <c r="T451">
        <v>32</v>
      </c>
    </row>
    <row r="452" spans="1:20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  <c r="I452" t="str">
        <f t="shared" si="22"/>
        <v>Bronze</v>
      </c>
      <c r="J452" t="str">
        <f t="shared" si="23"/>
        <v>Shane Mills</v>
      </c>
      <c r="K452" t="str">
        <f t="shared" si="21"/>
        <v>Shane Mills</v>
      </c>
      <c r="S452" s="9" t="s">
        <v>1317</v>
      </c>
      <c r="T452">
        <v>53</v>
      </c>
    </row>
    <row r="453" spans="1:20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  <c r="I453" t="str">
        <f t="shared" si="22"/>
        <v>Gold</v>
      </c>
      <c r="J453" t="str">
        <f t="shared" si="23"/>
        <v>Ashley Roberts</v>
      </c>
      <c r="K453" t="str">
        <f t="shared" si="21"/>
        <v>Ashley Roberts</v>
      </c>
      <c r="S453" s="10" t="s">
        <v>9</v>
      </c>
      <c r="T453">
        <v>53</v>
      </c>
    </row>
    <row r="454" spans="1:20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  <c r="I454" t="str">
        <f t="shared" si="22"/>
        <v>Bronze</v>
      </c>
      <c r="J454" t="str">
        <f t="shared" si="23"/>
        <v>Jeffery Wolf</v>
      </c>
      <c r="K454" t="str">
        <f t="shared" si="21"/>
        <v>Jeffery Wolf</v>
      </c>
      <c r="S454" s="11" t="s">
        <v>1316</v>
      </c>
      <c r="T454">
        <v>53</v>
      </c>
    </row>
    <row r="455" spans="1:20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  <c r="I455" t="str">
        <f t="shared" si="22"/>
        <v>Platinum</v>
      </c>
      <c r="J455" t="str">
        <f t="shared" si="23"/>
        <v>April Phillips</v>
      </c>
      <c r="K455" t="str">
        <f t="shared" si="21"/>
        <v>April Phillips</v>
      </c>
      <c r="S455" s="9" t="s">
        <v>1467</v>
      </c>
      <c r="T455">
        <v>33</v>
      </c>
    </row>
    <row r="456" spans="1:20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  <c r="I456" t="str">
        <f t="shared" si="22"/>
        <v>Gold</v>
      </c>
      <c r="J456" t="str">
        <f t="shared" si="23"/>
        <v>John Berg</v>
      </c>
      <c r="K456" t="str">
        <f t="shared" si="21"/>
        <v>John Berg</v>
      </c>
      <c r="S456" s="10" t="s">
        <v>16</v>
      </c>
      <c r="T456">
        <v>33</v>
      </c>
    </row>
    <row r="457" spans="1:20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  <c r="I457" t="str">
        <f t="shared" si="22"/>
        <v>Gold</v>
      </c>
      <c r="J457" t="str">
        <f t="shared" si="23"/>
        <v>Tyler Weber</v>
      </c>
      <c r="K457" t="str">
        <f t="shared" si="21"/>
        <v>Tyler Weber</v>
      </c>
      <c r="S457" s="11" t="s">
        <v>1466</v>
      </c>
      <c r="T457">
        <v>33</v>
      </c>
    </row>
    <row r="458" spans="1:20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  <c r="I458" t="str">
        <f t="shared" si="22"/>
        <v>Gold</v>
      </c>
      <c r="J458" t="str">
        <f t="shared" si="23"/>
        <v>Julie Powell</v>
      </c>
      <c r="K458" t="str">
        <f t="shared" si="21"/>
        <v>Julie Powell</v>
      </c>
      <c r="S458" s="9" t="s">
        <v>991</v>
      </c>
      <c r="T458">
        <v>53</v>
      </c>
    </row>
    <row r="459" spans="1:20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  <c r="I459" t="str">
        <f t="shared" si="22"/>
        <v>Platinum</v>
      </c>
      <c r="J459" t="str">
        <f t="shared" si="23"/>
        <v>Christina Robertson</v>
      </c>
      <c r="K459" t="str">
        <f t="shared" si="21"/>
        <v>Christina Robertson</v>
      </c>
      <c r="S459" s="10" t="s">
        <v>16</v>
      </c>
      <c r="T459">
        <v>53</v>
      </c>
    </row>
    <row r="460" spans="1:20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  <c r="I460" t="str">
        <f t="shared" si="22"/>
        <v>Silver</v>
      </c>
      <c r="J460" t="str">
        <f t="shared" si="23"/>
        <v>Kelly Garrett</v>
      </c>
      <c r="K460" t="str">
        <f t="shared" si="21"/>
        <v>Kelly Garrett</v>
      </c>
      <c r="S460" s="11" t="s">
        <v>990</v>
      </c>
      <c r="T460">
        <v>53</v>
      </c>
    </row>
    <row r="461" spans="1:20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  <c r="I461" t="str">
        <f t="shared" si="22"/>
        <v>Gold</v>
      </c>
      <c r="J461" t="str">
        <f t="shared" si="23"/>
        <v>John Perez</v>
      </c>
      <c r="K461" t="str">
        <f t="shared" si="21"/>
        <v>John Perez</v>
      </c>
      <c r="S461" s="9" t="s">
        <v>988</v>
      </c>
      <c r="T461">
        <v>62</v>
      </c>
    </row>
    <row r="462" spans="1:20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  <c r="I462" t="str">
        <f t="shared" si="22"/>
        <v>Gold</v>
      </c>
      <c r="J462" t="str">
        <f t="shared" si="23"/>
        <v>Justin Johnson</v>
      </c>
      <c r="K462" t="str">
        <f t="shared" si="21"/>
        <v>Justin Johnson</v>
      </c>
      <c r="S462" s="10" t="s">
        <v>9</v>
      </c>
      <c r="T462">
        <v>62</v>
      </c>
    </row>
    <row r="463" spans="1:20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  <c r="I463" t="str">
        <f t="shared" si="22"/>
        <v>Silver</v>
      </c>
      <c r="J463" t="str">
        <f t="shared" si="23"/>
        <v>Paul Cox</v>
      </c>
      <c r="K463" t="str">
        <f t="shared" si="21"/>
        <v>Paul Cox</v>
      </c>
      <c r="S463" s="11" t="s">
        <v>987</v>
      </c>
      <c r="T463">
        <v>62</v>
      </c>
    </row>
    <row r="464" spans="1:20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  <c r="I464" t="str">
        <f t="shared" si="22"/>
        <v>Silver</v>
      </c>
      <c r="J464" t="str">
        <f t="shared" si="23"/>
        <v>Beth Martin</v>
      </c>
      <c r="K464" t="str">
        <f t="shared" si="21"/>
        <v>Beth Martin</v>
      </c>
      <c r="S464" s="9" t="s">
        <v>1137</v>
      </c>
      <c r="T464">
        <v>23</v>
      </c>
    </row>
    <row r="465" spans="1:20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  <c r="I465" t="str">
        <f t="shared" si="22"/>
        <v>Bronze</v>
      </c>
      <c r="J465" t="str">
        <f t="shared" si="23"/>
        <v>Samantha Lee</v>
      </c>
      <c r="K465" t="str">
        <f t="shared" si="21"/>
        <v>Samantha Lee</v>
      </c>
      <c r="S465" s="10" t="s">
        <v>9</v>
      </c>
      <c r="T465">
        <v>23</v>
      </c>
    </row>
    <row r="466" spans="1:20" x14ac:dyDescent="0.25">
      <c r="A466" t="s">
        <v>1431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  <c r="I466" t="str">
        <f t="shared" si="22"/>
        <v>Platinum</v>
      </c>
      <c r="J466" t="str">
        <f t="shared" si="23"/>
        <v>David Pierce</v>
      </c>
      <c r="K466" t="str">
        <f t="shared" si="21"/>
        <v>David Pierce</v>
      </c>
      <c r="S466" s="11" t="s">
        <v>1136</v>
      </c>
      <c r="T466">
        <v>23</v>
      </c>
    </row>
    <row r="467" spans="1:20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  <c r="I467" t="str">
        <f t="shared" si="22"/>
        <v>Silver</v>
      </c>
      <c r="J467" t="str">
        <f t="shared" si="23"/>
        <v>Ronald Ross</v>
      </c>
      <c r="K467" t="str">
        <f t="shared" si="21"/>
        <v>Ronald Ross</v>
      </c>
      <c r="S467" s="9" t="s">
        <v>728</v>
      </c>
      <c r="T467">
        <v>46</v>
      </c>
    </row>
    <row r="468" spans="1:20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  <c r="I468" t="str">
        <f t="shared" si="22"/>
        <v>Silver</v>
      </c>
      <c r="J468" t="str">
        <f t="shared" si="23"/>
        <v>Cynthia Parrish</v>
      </c>
      <c r="K468" t="str">
        <f t="shared" si="21"/>
        <v>Cynthia Parrish</v>
      </c>
      <c r="S468" s="10" t="s">
        <v>16</v>
      </c>
      <c r="T468">
        <v>46</v>
      </c>
    </row>
    <row r="469" spans="1:20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  <c r="I469" t="str">
        <f t="shared" si="22"/>
        <v>Gold</v>
      </c>
      <c r="J469" t="str">
        <f t="shared" si="23"/>
        <v>Michael Foley</v>
      </c>
      <c r="K469" t="str">
        <f t="shared" si="21"/>
        <v>Michael Foley</v>
      </c>
      <c r="S469" s="11" t="s">
        <v>727</v>
      </c>
      <c r="T469">
        <v>46</v>
      </c>
    </row>
    <row r="470" spans="1:20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  <c r="I470" t="str">
        <f t="shared" si="22"/>
        <v>Bronze</v>
      </c>
      <c r="J470" t="str">
        <f t="shared" si="23"/>
        <v>Gregory Curtis</v>
      </c>
      <c r="K470" t="str">
        <f t="shared" si="21"/>
        <v>Gregory Curtis</v>
      </c>
      <c r="S470" s="9" t="s">
        <v>1170</v>
      </c>
      <c r="T470">
        <v>60</v>
      </c>
    </row>
    <row r="471" spans="1:20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  <c r="I471" t="str">
        <f t="shared" si="22"/>
        <v>Gold</v>
      </c>
      <c r="J471" t="str">
        <f t="shared" si="23"/>
        <v>James Foster</v>
      </c>
      <c r="K471" t="str">
        <f t="shared" si="21"/>
        <v>James Foster</v>
      </c>
      <c r="S471" s="10" t="s">
        <v>9</v>
      </c>
      <c r="T471">
        <v>60</v>
      </c>
    </row>
    <row r="472" spans="1:20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  <c r="I472" t="str">
        <f t="shared" si="22"/>
        <v>Gold</v>
      </c>
      <c r="J472" t="str">
        <f t="shared" si="23"/>
        <v>Manuel Fisher</v>
      </c>
      <c r="K472" t="str">
        <f t="shared" si="21"/>
        <v>Manuel Fisher</v>
      </c>
      <c r="S472" s="11" t="s">
        <v>1169</v>
      </c>
      <c r="T472">
        <v>60</v>
      </c>
    </row>
    <row r="473" spans="1:20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  <c r="I473" t="str">
        <f t="shared" si="22"/>
        <v>Platinum</v>
      </c>
      <c r="J473" t="str">
        <f t="shared" si="23"/>
        <v>Debra Mccullough</v>
      </c>
      <c r="K473" t="str">
        <f t="shared" si="21"/>
        <v>Debra Mccullough</v>
      </c>
      <c r="S473" s="9" t="s">
        <v>1069</v>
      </c>
      <c r="T473">
        <v>27</v>
      </c>
    </row>
    <row r="474" spans="1:20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  <c r="I474" t="str">
        <f t="shared" si="22"/>
        <v>Silver</v>
      </c>
      <c r="J474" t="str">
        <f t="shared" si="23"/>
        <v>Philip Mendoza</v>
      </c>
      <c r="K474" t="str">
        <f t="shared" si="21"/>
        <v>Philip Mendoza</v>
      </c>
      <c r="S474" s="10" t="s">
        <v>9</v>
      </c>
      <c r="T474">
        <v>27</v>
      </c>
    </row>
    <row r="475" spans="1:20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  <c r="I475" t="str">
        <f t="shared" si="22"/>
        <v>Bronze</v>
      </c>
      <c r="J475" t="str">
        <f t="shared" si="23"/>
        <v>Laura Mathews</v>
      </c>
      <c r="K475" t="str">
        <f t="shared" si="21"/>
        <v>Laura Mathews</v>
      </c>
      <c r="S475" s="11" t="s">
        <v>1068</v>
      </c>
      <c r="T475">
        <v>27</v>
      </c>
    </row>
    <row r="476" spans="1:20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  <c r="I476" t="str">
        <f t="shared" si="22"/>
        <v>Platinum</v>
      </c>
      <c r="J476" t="str">
        <f t="shared" si="23"/>
        <v>Joshua Howard</v>
      </c>
      <c r="K476" t="str">
        <f t="shared" si="21"/>
        <v>Joshua Howard</v>
      </c>
      <c r="S476" s="9" t="s">
        <v>1387</v>
      </c>
      <c r="T476">
        <v>64</v>
      </c>
    </row>
    <row r="477" spans="1:20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  <c r="I477" t="str">
        <f t="shared" si="22"/>
        <v>Platinum</v>
      </c>
      <c r="J477" t="str">
        <f t="shared" si="23"/>
        <v>Barbara Berry</v>
      </c>
      <c r="K477" t="str">
        <f t="shared" si="21"/>
        <v>Barbara Berry</v>
      </c>
      <c r="S477" s="10" t="s">
        <v>16</v>
      </c>
      <c r="T477">
        <v>64</v>
      </c>
    </row>
    <row r="478" spans="1:20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  <c r="I478" t="str">
        <f t="shared" si="22"/>
        <v>Gold</v>
      </c>
      <c r="J478" t="str">
        <f t="shared" si="23"/>
        <v>Elizabeth Foster</v>
      </c>
      <c r="K478" t="str">
        <f t="shared" si="21"/>
        <v>Elizabeth Foster</v>
      </c>
      <c r="S478" s="11" t="s">
        <v>1386</v>
      </c>
      <c r="T478">
        <v>64</v>
      </c>
    </row>
    <row r="479" spans="1:20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  <c r="I479" t="str">
        <f t="shared" si="22"/>
        <v>Platinum</v>
      </c>
      <c r="J479" t="str">
        <f t="shared" si="23"/>
        <v>Andrea Harris</v>
      </c>
      <c r="K479" t="str">
        <f t="shared" si="21"/>
        <v>Andrea Harris</v>
      </c>
      <c r="S479" s="9" t="s">
        <v>1496</v>
      </c>
      <c r="T479">
        <v>22</v>
      </c>
    </row>
    <row r="480" spans="1:20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  <c r="I480" t="str">
        <f t="shared" si="22"/>
        <v>Gold</v>
      </c>
      <c r="J480" t="str">
        <f t="shared" si="23"/>
        <v>Earl Smith Dds</v>
      </c>
      <c r="K480" t="str">
        <f t="shared" si="21"/>
        <v>Earl Smith Dds</v>
      </c>
      <c r="S480" s="10" t="s">
        <v>16</v>
      </c>
      <c r="T480">
        <v>22</v>
      </c>
    </row>
    <row r="481" spans="1:20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  <c r="I481" t="str">
        <f t="shared" si="22"/>
        <v>Bronze</v>
      </c>
      <c r="J481" t="str">
        <f t="shared" si="23"/>
        <v>Dylan Gutierrez</v>
      </c>
      <c r="K481" t="str">
        <f t="shared" si="21"/>
        <v>Dylan Gutierrez</v>
      </c>
      <c r="S481" s="11" t="s">
        <v>1495</v>
      </c>
      <c r="T481">
        <v>22</v>
      </c>
    </row>
    <row r="482" spans="1:20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  <c r="I482" t="str">
        <f t="shared" si="22"/>
        <v>Bronze</v>
      </c>
      <c r="J482" t="str">
        <f t="shared" si="23"/>
        <v>Jordan Medina</v>
      </c>
      <c r="K482" t="str">
        <f t="shared" si="21"/>
        <v>Jordan Medina</v>
      </c>
      <c r="S482" s="9" t="s">
        <v>259</v>
      </c>
      <c r="T482">
        <v>29</v>
      </c>
    </row>
    <row r="483" spans="1:20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  <c r="I483" t="str">
        <f t="shared" si="22"/>
        <v>Gold</v>
      </c>
      <c r="J483" t="str">
        <f t="shared" si="23"/>
        <v>Bryan Tran</v>
      </c>
      <c r="K483" t="str">
        <f t="shared" si="21"/>
        <v>Bryan Tran</v>
      </c>
      <c r="S483" s="10" t="s">
        <v>16</v>
      </c>
      <c r="T483">
        <v>29</v>
      </c>
    </row>
    <row r="484" spans="1:20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  <c r="I484" t="str">
        <f t="shared" si="22"/>
        <v>Platinum</v>
      </c>
      <c r="J484" t="str">
        <f t="shared" si="23"/>
        <v>Sheri Joyce</v>
      </c>
      <c r="K484" t="str">
        <f t="shared" si="21"/>
        <v>Sheri Joyce</v>
      </c>
      <c r="S484" s="11" t="s">
        <v>258</v>
      </c>
      <c r="T484">
        <v>29</v>
      </c>
    </row>
    <row r="485" spans="1:20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  <c r="I485" t="str">
        <f t="shared" si="22"/>
        <v>Gold</v>
      </c>
      <c r="J485" t="str">
        <f t="shared" si="23"/>
        <v>Sarah Smith</v>
      </c>
      <c r="K485" t="str">
        <f t="shared" si="21"/>
        <v>Sarah Smith</v>
      </c>
      <c r="S485" s="9" t="s">
        <v>697</v>
      </c>
      <c r="T485">
        <v>61</v>
      </c>
    </row>
    <row r="486" spans="1:20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  <c r="I486" t="str">
        <f t="shared" si="22"/>
        <v>Bronze</v>
      </c>
      <c r="J486" t="str">
        <f t="shared" si="23"/>
        <v>Jessica Castro</v>
      </c>
      <c r="K486" t="str">
        <f t="shared" si="21"/>
        <v>Jessica Castro</v>
      </c>
      <c r="S486" s="10" t="s">
        <v>9</v>
      </c>
      <c r="T486">
        <v>61</v>
      </c>
    </row>
    <row r="487" spans="1:20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  <c r="I487" t="str">
        <f t="shared" si="22"/>
        <v>Bronze</v>
      </c>
      <c r="J487" t="str">
        <f t="shared" si="23"/>
        <v>Sara Ingram</v>
      </c>
      <c r="K487" t="str">
        <f t="shared" si="21"/>
        <v>Sara Ingram</v>
      </c>
      <c r="S487" s="11" t="s">
        <v>696</v>
      </c>
      <c r="T487">
        <v>61</v>
      </c>
    </row>
    <row r="488" spans="1:20" x14ac:dyDescent="0.25">
      <c r="A488" t="s">
        <v>1495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  <c r="I488" t="str">
        <f t="shared" si="22"/>
        <v>Bronze</v>
      </c>
      <c r="J488" t="str">
        <f t="shared" si="23"/>
        <v>Eric Lee</v>
      </c>
      <c r="K488" t="str">
        <f t="shared" si="21"/>
        <v>Eric Lee</v>
      </c>
      <c r="S488" s="9" t="s">
        <v>158</v>
      </c>
      <c r="T488">
        <v>50</v>
      </c>
    </row>
    <row r="489" spans="1:20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  <c r="I489" t="str">
        <f t="shared" si="22"/>
        <v>Platinum</v>
      </c>
      <c r="J489" t="str">
        <f t="shared" si="23"/>
        <v>Amanda Medina</v>
      </c>
      <c r="K489" t="str">
        <f t="shared" si="21"/>
        <v>Amanda Medina</v>
      </c>
      <c r="S489" s="10" t="s">
        <v>9</v>
      </c>
      <c r="T489">
        <v>50</v>
      </c>
    </row>
    <row r="490" spans="1:20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  <c r="I490" t="str">
        <f t="shared" si="22"/>
        <v>Platinum</v>
      </c>
      <c r="J490" t="str">
        <f t="shared" si="23"/>
        <v>Zachary Andrade</v>
      </c>
      <c r="K490" t="str">
        <f t="shared" si="21"/>
        <v>Zachary Andrade</v>
      </c>
      <c r="S490" s="11" t="s">
        <v>157</v>
      </c>
      <c r="T490">
        <v>50</v>
      </c>
    </row>
    <row r="491" spans="1:20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  <c r="I491" t="str">
        <f t="shared" si="22"/>
        <v>Silver</v>
      </c>
      <c r="J491" t="str">
        <f t="shared" si="23"/>
        <v>Melinda Thomas</v>
      </c>
      <c r="K491" t="str">
        <f t="shared" si="21"/>
        <v>Melinda Thomas</v>
      </c>
      <c r="S491" s="9" t="s">
        <v>1261</v>
      </c>
      <c r="T491">
        <v>18</v>
      </c>
    </row>
    <row r="492" spans="1:20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  <c r="I492" t="str">
        <f t="shared" si="22"/>
        <v>Platinum</v>
      </c>
      <c r="J492" t="str">
        <f t="shared" si="23"/>
        <v>Scott Harris</v>
      </c>
      <c r="K492" t="str">
        <f t="shared" si="21"/>
        <v>Scott Harris</v>
      </c>
      <c r="S492" s="10" t="s">
        <v>16</v>
      </c>
      <c r="T492">
        <v>18</v>
      </c>
    </row>
    <row r="493" spans="1:20" x14ac:dyDescent="0.25">
      <c r="A493" t="s">
        <v>1510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  <c r="I493" t="str">
        <f t="shared" si="22"/>
        <v>Gold</v>
      </c>
      <c r="J493" t="str">
        <f t="shared" si="23"/>
        <v>Kaitlin Brown</v>
      </c>
      <c r="K493" t="str">
        <f t="shared" si="21"/>
        <v>Kaitlin Brown</v>
      </c>
      <c r="S493" s="11" t="s">
        <v>1260</v>
      </c>
      <c r="T493">
        <v>18</v>
      </c>
    </row>
    <row r="494" spans="1:20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  <c r="I494" t="str">
        <f t="shared" si="22"/>
        <v>Platinum</v>
      </c>
      <c r="J494" t="str">
        <f t="shared" si="23"/>
        <v>Darrell Miller</v>
      </c>
      <c r="K494" t="str">
        <f t="shared" si="21"/>
        <v>Darrell Miller</v>
      </c>
      <c r="S494" s="9" t="s">
        <v>379</v>
      </c>
      <c r="T494">
        <v>62</v>
      </c>
    </row>
    <row r="495" spans="1:20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  <c r="I495" t="str">
        <f t="shared" si="22"/>
        <v>Silver</v>
      </c>
      <c r="J495" t="str">
        <f t="shared" si="23"/>
        <v>Amanda Powell</v>
      </c>
      <c r="K495" t="str">
        <f t="shared" si="21"/>
        <v>Amanda Powell</v>
      </c>
      <c r="S495" s="10" t="s">
        <v>16</v>
      </c>
      <c r="T495">
        <v>62</v>
      </c>
    </row>
    <row r="496" spans="1:20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  <c r="I496" t="str">
        <f t="shared" si="22"/>
        <v>Gold</v>
      </c>
      <c r="J496" t="str">
        <f t="shared" si="23"/>
        <v>Justin Lopez</v>
      </c>
      <c r="K496" t="str">
        <f t="shared" si="21"/>
        <v>Justin Lopez</v>
      </c>
      <c r="S496" s="11" t="s">
        <v>378</v>
      </c>
      <c r="T496">
        <v>62</v>
      </c>
    </row>
    <row r="497" spans="1:20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  <c r="I497" t="str">
        <f t="shared" si="22"/>
        <v>Bronze</v>
      </c>
      <c r="J497" t="str">
        <f t="shared" si="23"/>
        <v>James Berger</v>
      </c>
      <c r="K497" t="str">
        <f t="shared" si="21"/>
        <v>James Berger</v>
      </c>
      <c r="S497" s="9" t="s">
        <v>1191</v>
      </c>
      <c r="T497">
        <v>50</v>
      </c>
    </row>
    <row r="498" spans="1:20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  <c r="I498" t="str">
        <f t="shared" si="22"/>
        <v>Bronze</v>
      </c>
      <c r="J498" t="str">
        <f t="shared" si="23"/>
        <v>Christopher Ford</v>
      </c>
      <c r="K498" t="str">
        <f t="shared" si="21"/>
        <v>Christopher Ford</v>
      </c>
      <c r="S498" s="10" t="s">
        <v>9</v>
      </c>
      <c r="T498">
        <v>50</v>
      </c>
    </row>
    <row r="499" spans="1:20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  <c r="I499" t="str">
        <f t="shared" si="22"/>
        <v>Gold</v>
      </c>
      <c r="J499" t="str">
        <f t="shared" si="23"/>
        <v>Sarah Marsh</v>
      </c>
      <c r="K499" t="str">
        <f t="shared" si="21"/>
        <v>Sarah Marsh</v>
      </c>
      <c r="S499" s="11" t="s">
        <v>1190</v>
      </c>
      <c r="T499">
        <v>50</v>
      </c>
    </row>
    <row r="500" spans="1:20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  <c r="I500" t="str">
        <f t="shared" si="22"/>
        <v>Silver</v>
      </c>
      <c r="J500" t="str">
        <f t="shared" si="23"/>
        <v>Traci Gonzalez</v>
      </c>
      <c r="K500" t="str">
        <f t="shared" si="21"/>
        <v>Traci Gonzalez</v>
      </c>
      <c r="S500" s="9" t="s">
        <v>426</v>
      </c>
      <c r="T500">
        <v>40</v>
      </c>
    </row>
    <row r="501" spans="1:20" x14ac:dyDescent="0.25">
      <c r="A501" t="s">
        <v>1533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  <c r="I501" t="str">
        <f t="shared" si="22"/>
        <v>Platinum</v>
      </c>
      <c r="J501" t="str">
        <f t="shared" si="23"/>
        <v>Philip Pennington</v>
      </c>
      <c r="K501" t="str">
        <f t="shared" si="21"/>
        <v>Philip Pennington</v>
      </c>
      <c r="S501" s="10" t="s">
        <v>9</v>
      </c>
      <c r="T501">
        <v>40</v>
      </c>
    </row>
    <row r="502" spans="1:20" x14ac:dyDescent="0.25">
      <c r="S502" s="11" t="s">
        <v>425</v>
      </c>
      <c r="T502">
        <v>40</v>
      </c>
    </row>
    <row r="503" spans="1:20" x14ac:dyDescent="0.25">
      <c r="S503" s="9" t="s">
        <v>599</v>
      </c>
      <c r="T503">
        <v>60</v>
      </c>
    </row>
    <row r="504" spans="1:20" x14ac:dyDescent="0.25">
      <c r="S504" s="10" t="s">
        <v>9</v>
      </c>
      <c r="T504">
        <v>60</v>
      </c>
    </row>
    <row r="505" spans="1:20" x14ac:dyDescent="0.25">
      <c r="S505" s="11" t="s">
        <v>598</v>
      </c>
      <c r="T505">
        <v>60</v>
      </c>
    </row>
    <row r="506" spans="1:20" x14ac:dyDescent="0.25">
      <c r="S506" s="9" t="s">
        <v>15</v>
      </c>
      <c r="T506">
        <v>26</v>
      </c>
    </row>
    <row r="507" spans="1:20" x14ac:dyDescent="0.25">
      <c r="S507" s="10" t="s">
        <v>16</v>
      </c>
      <c r="T507">
        <v>26</v>
      </c>
    </row>
    <row r="508" spans="1:20" x14ac:dyDescent="0.25">
      <c r="S508" s="11" t="s">
        <v>14</v>
      </c>
      <c r="T508">
        <v>26</v>
      </c>
    </row>
    <row r="509" spans="1:20" x14ac:dyDescent="0.25">
      <c r="S509" s="9" t="s">
        <v>1081</v>
      </c>
      <c r="T509">
        <v>39</v>
      </c>
    </row>
    <row r="510" spans="1:20" x14ac:dyDescent="0.25">
      <c r="S510" s="10" t="s">
        <v>9</v>
      </c>
      <c r="T510">
        <v>39</v>
      </c>
    </row>
    <row r="511" spans="1:20" x14ac:dyDescent="0.25">
      <c r="S511" s="11" t="s">
        <v>1080</v>
      </c>
      <c r="T511">
        <v>39</v>
      </c>
    </row>
    <row r="512" spans="1:20" x14ac:dyDescent="0.25">
      <c r="S512" s="9" t="s">
        <v>1182</v>
      </c>
      <c r="T512">
        <v>44</v>
      </c>
    </row>
    <row r="513" spans="19:20" x14ac:dyDescent="0.25">
      <c r="S513" s="10" t="s">
        <v>16</v>
      </c>
      <c r="T513">
        <v>44</v>
      </c>
    </row>
    <row r="514" spans="19:20" x14ac:dyDescent="0.25">
      <c r="S514" s="11" t="s">
        <v>1181</v>
      </c>
      <c r="T514">
        <v>44</v>
      </c>
    </row>
    <row r="515" spans="19:20" x14ac:dyDescent="0.25">
      <c r="S515" s="9" t="s">
        <v>1378</v>
      </c>
      <c r="T515">
        <v>41</v>
      </c>
    </row>
    <row r="516" spans="19:20" x14ac:dyDescent="0.25">
      <c r="S516" s="10" t="s">
        <v>16</v>
      </c>
      <c r="T516">
        <v>41</v>
      </c>
    </row>
    <row r="517" spans="19:20" x14ac:dyDescent="0.25">
      <c r="S517" s="11" t="s">
        <v>1377</v>
      </c>
      <c r="T517">
        <v>41</v>
      </c>
    </row>
    <row r="518" spans="19:20" x14ac:dyDescent="0.25">
      <c r="S518" s="9" t="s">
        <v>714</v>
      </c>
      <c r="T518">
        <v>50</v>
      </c>
    </row>
    <row r="519" spans="19:20" x14ac:dyDescent="0.25">
      <c r="S519" s="10" t="s">
        <v>16</v>
      </c>
      <c r="T519">
        <v>50</v>
      </c>
    </row>
    <row r="520" spans="19:20" x14ac:dyDescent="0.25">
      <c r="S520" s="11" t="s">
        <v>713</v>
      </c>
      <c r="T520">
        <v>50</v>
      </c>
    </row>
    <row r="521" spans="19:20" x14ac:dyDescent="0.25">
      <c r="S521" s="9" t="s">
        <v>299</v>
      </c>
      <c r="T521">
        <v>53</v>
      </c>
    </row>
    <row r="522" spans="19:20" x14ac:dyDescent="0.25">
      <c r="S522" s="10" t="s">
        <v>9</v>
      </c>
      <c r="T522">
        <v>53</v>
      </c>
    </row>
    <row r="523" spans="19:20" x14ac:dyDescent="0.25">
      <c r="S523" s="11" t="s">
        <v>298</v>
      </c>
      <c r="T523">
        <v>53</v>
      </c>
    </row>
    <row r="524" spans="19:20" x14ac:dyDescent="0.25">
      <c r="S524" s="9" t="s">
        <v>182</v>
      </c>
      <c r="T524">
        <v>54</v>
      </c>
    </row>
    <row r="525" spans="19:20" x14ac:dyDescent="0.25">
      <c r="S525" s="10" t="s">
        <v>16</v>
      </c>
      <c r="T525">
        <v>54</v>
      </c>
    </row>
    <row r="526" spans="19:20" x14ac:dyDescent="0.25">
      <c r="S526" s="11" t="s">
        <v>181</v>
      </c>
      <c r="T526">
        <v>54</v>
      </c>
    </row>
    <row r="527" spans="19:20" x14ac:dyDescent="0.25">
      <c r="S527" s="9" t="s">
        <v>930</v>
      </c>
      <c r="T527">
        <v>56</v>
      </c>
    </row>
    <row r="528" spans="19:20" x14ac:dyDescent="0.25">
      <c r="S528" s="10" t="s">
        <v>16</v>
      </c>
      <c r="T528">
        <v>56</v>
      </c>
    </row>
    <row r="529" spans="19:20" x14ac:dyDescent="0.25">
      <c r="S529" s="11" t="s">
        <v>929</v>
      </c>
      <c r="T529">
        <v>56</v>
      </c>
    </row>
    <row r="530" spans="19:20" x14ac:dyDescent="0.25">
      <c r="S530" s="9" t="s">
        <v>1155</v>
      </c>
      <c r="T530">
        <v>20</v>
      </c>
    </row>
    <row r="531" spans="19:20" x14ac:dyDescent="0.25">
      <c r="S531" s="10" t="s">
        <v>16</v>
      </c>
      <c r="T531">
        <v>20</v>
      </c>
    </row>
    <row r="532" spans="19:20" x14ac:dyDescent="0.25">
      <c r="S532" s="11" t="s">
        <v>1154</v>
      </c>
      <c r="T532">
        <v>20</v>
      </c>
    </row>
    <row r="533" spans="19:20" x14ac:dyDescent="0.25">
      <c r="S533" s="9" t="s">
        <v>1444</v>
      </c>
      <c r="T533">
        <v>45</v>
      </c>
    </row>
    <row r="534" spans="19:20" x14ac:dyDescent="0.25">
      <c r="S534" s="10" t="s">
        <v>9</v>
      </c>
      <c r="T534">
        <v>45</v>
      </c>
    </row>
    <row r="535" spans="19:20" x14ac:dyDescent="0.25">
      <c r="S535" s="11" t="s">
        <v>1443</v>
      </c>
      <c r="T535">
        <v>45</v>
      </c>
    </row>
    <row r="536" spans="19:20" x14ac:dyDescent="0.25">
      <c r="S536" s="9" t="s">
        <v>733</v>
      </c>
      <c r="T536">
        <v>63</v>
      </c>
    </row>
    <row r="537" spans="19:20" x14ac:dyDescent="0.25">
      <c r="S537" s="10" t="s">
        <v>16</v>
      </c>
      <c r="T537">
        <v>63</v>
      </c>
    </row>
    <row r="538" spans="19:20" x14ac:dyDescent="0.25">
      <c r="S538" s="11" t="s">
        <v>732</v>
      </c>
      <c r="T538">
        <v>63</v>
      </c>
    </row>
    <row r="539" spans="19:20" x14ac:dyDescent="0.25">
      <c r="S539" s="9" t="s">
        <v>456</v>
      </c>
      <c r="T539">
        <v>62</v>
      </c>
    </row>
    <row r="540" spans="19:20" x14ac:dyDescent="0.25">
      <c r="S540" s="10" t="s">
        <v>16</v>
      </c>
      <c r="T540">
        <v>62</v>
      </c>
    </row>
    <row r="541" spans="19:20" x14ac:dyDescent="0.25">
      <c r="S541" s="11" t="s">
        <v>455</v>
      </c>
      <c r="T541">
        <v>62</v>
      </c>
    </row>
    <row r="542" spans="19:20" x14ac:dyDescent="0.25">
      <c r="S542" s="9" t="s">
        <v>104</v>
      </c>
      <c r="T542">
        <v>40</v>
      </c>
    </row>
    <row r="543" spans="19:20" x14ac:dyDescent="0.25">
      <c r="S543" s="10" t="s">
        <v>9</v>
      </c>
      <c r="T543">
        <v>40</v>
      </c>
    </row>
    <row r="544" spans="19:20" x14ac:dyDescent="0.25">
      <c r="S544" s="11" t="s">
        <v>103</v>
      </c>
      <c r="T544">
        <v>40</v>
      </c>
    </row>
    <row r="545" spans="19:20" x14ac:dyDescent="0.25">
      <c r="S545" s="9" t="s">
        <v>1096</v>
      </c>
      <c r="T545">
        <v>31</v>
      </c>
    </row>
    <row r="546" spans="19:20" x14ac:dyDescent="0.25">
      <c r="S546" s="10" t="s">
        <v>9</v>
      </c>
      <c r="T546">
        <v>31</v>
      </c>
    </row>
    <row r="547" spans="19:20" x14ac:dyDescent="0.25">
      <c r="S547" s="11" t="s">
        <v>1095</v>
      </c>
      <c r="T547">
        <v>31</v>
      </c>
    </row>
    <row r="548" spans="19:20" x14ac:dyDescent="0.25">
      <c r="S548" s="9" t="s">
        <v>1221</v>
      </c>
      <c r="T548">
        <v>40</v>
      </c>
    </row>
    <row r="549" spans="19:20" x14ac:dyDescent="0.25">
      <c r="S549" s="10" t="s">
        <v>16</v>
      </c>
      <c r="T549">
        <v>40</v>
      </c>
    </row>
    <row r="550" spans="19:20" x14ac:dyDescent="0.25">
      <c r="S550" s="11" t="s">
        <v>1220</v>
      </c>
      <c r="T550">
        <v>40</v>
      </c>
    </row>
    <row r="551" spans="19:20" x14ac:dyDescent="0.25">
      <c r="S551" s="9" t="s">
        <v>1308</v>
      </c>
      <c r="T551">
        <v>45</v>
      </c>
    </row>
    <row r="552" spans="19:20" x14ac:dyDescent="0.25">
      <c r="S552" s="10" t="s">
        <v>16</v>
      </c>
      <c r="T552">
        <v>45</v>
      </c>
    </row>
    <row r="553" spans="19:20" x14ac:dyDescent="0.25">
      <c r="S553" s="11" t="s">
        <v>1307</v>
      </c>
      <c r="T553">
        <v>45</v>
      </c>
    </row>
    <row r="554" spans="19:20" x14ac:dyDescent="0.25">
      <c r="S554" s="9" t="s">
        <v>376</v>
      </c>
      <c r="T554">
        <v>53</v>
      </c>
    </row>
    <row r="555" spans="19:20" x14ac:dyDescent="0.25">
      <c r="S555" s="10" t="s">
        <v>16</v>
      </c>
      <c r="T555">
        <v>53</v>
      </c>
    </row>
    <row r="556" spans="19:20" x14ac:dyDescent="0.25">
      <c r="S556" s="11" t="s">
        <v>375</v>
      </c>
      <c r="T556">
        <v>53</v>
      </c>
    </row>
    <row r="557" spans="19:20" x14ac:dyDescent="0.25">
      <c r="S557" s="9" t="s">
        <v>903</v>
      </c>
      <c r="T557">
        <v>54</v>
      </c>
    </row>
    <row r="558" spans="19:20" x14ac:dyDescent="0.25">
      <c r="S558" s="10" t="s">
        <v>9</v>
      </c>
      <c r="T558">
        <v>54</v>
      </c>
    </row>
    <row r="559" spans="19:20" x14ac:dyDescent="0.25">
      <c r="S559" s="11" t="s">
        <v>902</v>
      </c>
      <c r="T559">
        <v>54</v>
      </c>
    </row>
    <row r="560" spans="19:20" x14ac:dyDescent="0.25">
      <c r="S560" s="9" t="s">
        <v>1270</v>
      </c>
      <c r="T560">
        <v>36</v>
      </c>
    </row>
    <row r="561" spans="19:20" x14ac:dyDescent="0.25">
      <c r="S561" s="10" t="s">
        <v>9</v>
      </c>
      <c r="T561">
        <v>36</v>
      </c>
    </row>
    <row r="562" spans="19:20" x14ac:dyDescent="0.25">
      <c r="S562" s="11" t="s">
        <v>1269</v>
      </c>
      <c r="T562">
        <v>36</v>
      </c>
    </row>
    <row r="563" spans="19:20" x14ac:dyDescent="0.25">
      <c r="S563" s="9" t="s">
        <v>1276</v>
      </c>
      <c r="T563">
        <v>48</v>
      </c>
    </row>
    <row r="564" spans="19:20" x14ac:dyDescent="0.25">
      <c r="S564" s="10" t="s">
        <v>16</v>
      </c>
      <c r="T564">
        <v>48</v>
      </c>
    </row>
    <row r="565" spans="19:20" x14ac:dyDescent="0.25">
      <c r="S565" s="11" t="s">
        <v>1275</v>
      </c>
      <c r="T565">
        <v>48</v>
      </c>
    </row>
    <row r="566" spans="19:20" x14ac:dyDescent="0.25">
      <c r="S566" s="9" t="s">
        <v>418</v>
      </c>
      <c r="T566">
        <v>44</v>
      </c>
    </row>
    <row r="567" spans="19:20" x14ac:dyDescent="0.25">
      <c r="S567" s="10" t="s">
        <v>16</v>
      </c>
      <c r="T567">
        <v>44</v>
      </c>
    </row>
    <row r="568" spans="19:20" x14ac:dyDescent="0.25">
      <c r="S568" s="11" t="s">
        <v>417</v>
      </c>
      <c r="T568">
        <v>44</v>
      </c>
    </row>
    <row r="569" spans="19:20" x14ac:dyDescent="0.25">
      <c r="S569" s="9" t="s">
        <v>632</v>
      </c>
      <c r="T569">
        <v>26</v>
      </c>
    </row>
    <row r="570" spans="19:20" x14ac:dyDescent="0.25">
      <c r="S570" s="10" t="s">
        <v>9</v>
      </c>
      <c r="T570">
        <v>26</v>
      </c>
    </row>
    <row r="571" spans="19:20" x14ac:dyDescent="0.25">
      <c r="S571" s="11" t="s">
        <v>631</v>
      </c>
      <c r="T571">
        <v>26</v>
      </c>
    </row>
    <row r="572" spans="19:20" x14ac:dyDescent="0.25">
      <c r="S572" s="9" t="s">
        <v>1164</v>
      </c>
      <c r="T572">
        <v>28</v>
      </c>
    </row>
    <row r="573" spans="19:20" x14ac:dyDescent="0.25">
      <c r="S573" s="10" t="s">
        <v>9</v>
      </c>
      <c r="T573">
        <v>28</v>
      </c>
    </row>
    <row r="574" spans="19:20" x14ac:dyDescent="0.25">
      <c r="S574" s="11" t="s">
        <v>1163</v>
      </c>
      <c r="T574">
        <v>28</v>
      </c>
    </row>
    <row r="575" spans="19:20" x14ac:dyDescent="0.25">
      <c r="S575" s="9" t="s">
        <v>676</v>
      </c>
      <c r="T575">
        <v>28</v>
      </c>
    </row>
    <row r="576" spans="19:20" x14ac:dyDescent="0.25">
      <c r="S576" s="10" t="s">
        <v>16</v>
      </c>
      <c r="T576">
        <v>28</v>
      </c>
    </row>
    <row r="577" spans="19:20" x14ac:dyDescent="0.25">
      <c r="S577" s="11" t="s">
        <v>675</v>
      </c>
      <c r="T577">
        <v>28</v>
      </c>
    </row>
    <row r="578" spans="19:20" x14ac:dyDescent="0.25">
      <c r="S578" s="9" t="s">
        <v>1224</v>
      </c>
      <c r="T578">
        <v>46</v>
      </c>
    </row>
    <row r="579" spans="19:20" x14ac:dyDescent="0.25">
      <c r="S579" s="10" t="s">
        <v>9</v>
      </c>
      <c r="T579">
        <v>46</v>
      </c>
    </row>
    <row r="580" spans="19:20" x14ac:dyDescent="0.25">
      <c r="S580" s="11" t="s">
        <v>1223</v>
      </c>
      <c r="T580">
        <v>46</v>
      </c>
    </row>
    <row r="581" spans="19:20" x14ac:dyDescent="0.25">
      <c r="S581" s="9" t="s">
        <v>231</v>
      </c>
      <c r="T581">
        <v>50</v>
      </c>
    </row>
    <row r="582" spans="19:20" x14ac:dyDescent="0.25">
      <c r="S582" s="10" t="s">
        <v>9</v>
      </c>
      <c r="T582">
        <v>50</v>
      </c>
    </row>
    <row r="583" spans="19:20" x14ac:dyDescent="0.25">
      <c r="S583" s="11" t="s">
        <v>230</v>
      </c>
      <c r="T583">
        <v>50</v>
      </c>
    </row>
    <row r="584" spans="19:20" x14ac:dyDescent="0.25">
      <c r="S584" s="9" t="s">
        <v>1522</v>
      </c>
      <c r="T584">
        <v>23</v>
      </c>
    </row>
    <row r="585" spans="19:20" x14ac:dyDescent="0.25">
      <c r="S585" s="10" t="s">
        <v>16</v>
      </c>
      <c r="T585">
        <v>23</v>
      </c>
    </row>
    <row r="586" spans="19:20" x14ac:dyDescent="0.25">
      <c r="S586" s="11" t="s">
        <v>1521</v>
      </c>
      <c r="T586">
        <v>23</v>
      </c>
    </row>
    <row r="587" spans="19:20" x14ac:dyDescent="0.25">
      <c r="S587" s="9" t="s">
        <v>1447</v>
      </c>
      <c r="T587">
        <v>19</v>
      </c>
    </row>
    <row r="588" spans="19:20" x14ac:dyDescent="0.25">
      <c r="S588" s="10" t="s">
        <v>9</v>
      </c>
      <c r="T588">
        <v>19</v>
      </c>
    </row>
    <row r="589" spans="19:20" x14ac:dyDescent="0.25">
      <c r="S589" s="11" t="s">
        <v>1446</v>
      </c>
      <c r="T589">
        <v>19</v>
      </c>
    </row>
    <row r="590" spans="19:20" x14ac:dyDescent="0.25">
      <c r="S590" s="9" t="s">
        <v>161</v>
      </c>
      <c r="T590">
        <v>21</v>
      </c>
    </row>
    <row r="591" spans="19:20" x14ac:dyDescent="0.25">
      <c r="S591" s="10" t="s">
        <v>9</v>
      </c>
      <c r="T591">
        <v>21</v>
      </c>
    </row>
    <row r="592" spans="19:20" x14ac:dyDescent="0.25">
      <c r="S592" s="11" t="s">
        <v>160</v>
      </c>
      <c r="T592">
        <v>21</v>
      </c>
    </row>
    <row r="593" spans="19:20" x14ac:dyDescent="0.25">
      <c r="S593" s="9" t="s">
        <v>1158</v>
      </c>
      <c r="T593">
        <v>45</v>
      </c>
    </row>
    <row r="594" spans="19:20" x14ac:dyDescent="0.25">
      <c r="S594" s="10" t="s">
        <v>9</v>
      </c>
      <c r="T594">
        <v>45</v>
      </c>
    </row>
    <row r="595" spans="19:20" x14ac:dyDescent="0.25">
      <c r="S595" s="11" t="s">
        <v>1157</v>
      </c>
      <c r="T595">
        <v>45</v>
      </c>
    </row>
    <row r="596" spans="19:20" x14ac:dyDescent="0.25">
      <c r="S596" s="9" t="s">
        <v>1167</v>
      </c>
      <c r="T596">
        <v>37</v>
      </c>
    </row>
    <row r="597" spans="19:20" x14ac:dyDescent="0.25">
      <c r="S597" s="10" t="s">
        <v>16</v>
      </c>
      <c r="T597">
        <v>37</v>
      </c>
    </row>
    <row r="598" spans="19:20" x14ac:dyDescent="0.25">
      <c r="S598" s="11" t="s">
        <v>1166</v>
      </c>
      <c r="T598">
        <v>37</v>
      </c>
    </row>
    <row r="599" spans="19:20" x14ac:dyDescent="0.25">
      <c r="S599" s="9" t="s">
        <v>924</v>
      </c>
      <c r="T599">
        <v>40</v>
      </c>
    </row>
    <row r="600" spans="19:20" x14ac:dyDescent="0.25">
      <c r="S600" s="10" t="s">
        <v>16</v>
      </c>
      <c r="T600">
        <v>40</v>
      </c>
    </row>
    <row r="601" spans="19:20" x14ac:dyDescent="0.25">
      <c r="S601" s="11" t="s">
        <v>923</v>
      </c>
      <c r="T601">
        <v>40</v>
      </c>
    </row>
    <row r="602" spans="19:20" x14ac:dyDescent="0.25">
      <c r="S602" s="9" t="s">
        <v>436</v>
      </c>
      <c r="T602">
        <v>62</v>
      </c>
    </row>
    <row r="603" spans="19:20" x14ac:dyDescent="0.25">
      <c r="S603" s="10" t="s">
        <v>16</v>
      </c>
      <c r="T603">
        <v>62</v>
      </c>
    </row>
    <row r="604" spans="19:20" x14ac:dyDescent="0.25">
      <c r="S604" s="11" t="s">
        <v>435</v>
      </c>
      <c r="T604">
        <v>62</v>
      </c>
    </row>
    <row r="605" spans="19:20" x14ac:dyDescent="0.25">
      <c r="S605" s="9" t="s">
        <v>448</v>
      </c>
      <c r="T605">
        <v>29</v>
      </c>
    </row>
    <row r="606" spans="19:20" x14ac:dyDescent="0.25">
      <c r="S606" s="10" t="s">
        <v>9</v>
      </c>
      <c r="T606">
        <v>29</v>
      </c>
    </row>
    <row r="607" spans="19:20" x14ac:dyDescent="0.25">
      <c r="S607" s="11" t="s">
        <v>447</v>
      </c>
      <c r="T607">
        <v>29</v>
      </c>
    </row>
    <row r="608" spans="19:20" x14ac:dyDescent="0.25">
      <c r="S608" s="9" t="s">
        <v>322</v>
      </c>
      <c r="T608">
        <v>43</v>
      </c>
    </row>
    <row r="609" spans="19:20" x14ac:dyDescent="0.25">
      <c r="S609" s="10" t="s">
        <v>9</v>
      </c>
      <c r="T609">
        <v>43</v>
      </c>
    </row>
    <row r="610" spans="19:20" x14ac:dyDescent="0.25">
      <c r="S610" s="11" t="s">
        <v>321</v>
      </c>
      <c r="T610">
        <v>43</v>
      </c>
    </row>
    <row r="611" spans="19:20" x14ac:dyDescent="0.25">
      <c r="S611" s="9" t="s">
        <v>938</v>
      </c>
      <c r="T611">
        <v>28</v>
      </c>
    </row>
    <row r="612" spans="19:20" x14ac:dyDescent="0.25">
      <c r="S612" s="10" t="s">
        <v>16</v>
      </c>
      <c r="T612">
        <v>28</v>
      </c>
    </row>
    <row r="613" spans="19:20" x14ac:dyDescent="0.25">
      <c r="S613" s="11" t="s">
        <v>937</v>
      </c>
      <c r="T613">
        <v>28</v>
      </c>
    </row>
    <row r="614" spans="19:20" x14ac:dyDescent="0.25">
      <c r="S614" s="9" t="s">
        <v>1063</v>
      </c>
      <c r="T614">
        <v>46</v>
      </c>
    </row>
    <row r="615" spans="19:20" x14ac:dyDescent="0.25">
      <c r="S615" s="10" t="s">
        <v>16</v>
      </c>
      <c r="T615">
        <v>46</v>
      </c>
    </row>
    <row r="616" spans="19:20" x14ac:dyDescent="0.25">
      <c r="S616" s="11" t="s">
        <v>1062</v>
      </c>
      <c r="T616">
        <v>46</v>
      </c>
    </row>
    <row r="617" spans="19:20" x14ac:dyDescent="0.25">
      <c r="S617" s="9" t="s">
        <v>985</v>
      </c>
      <c r="T617">
        <v>47</v>
      </c>
    </row>
    <row r="618" spans="19:20" x14ac:dyDescent="0.25">
      <c r="S618" s="10" t="s">
        <v>16</v>
      </c>
      <c r="T618">
        <v>47</v>
      </c>
    </row>
    <row r="619" spans="19:20" x14ac:dyDescent="0.25">
      <c r="S619" s="11" t="s">
        <v>984</v>
      </c>
      <c r="T619">
        <v>47</v>
      </c>
    </row>
    <row r="620" spans="19:20" x14ac:dyDescent="0.25">
      <c r="S620" s="9" t="s">
        <v>551</v>
      </c>
      <c r="T620">
        <v>47</v>
      </c>
    </row>
    <row r="621" spans="19:20" x14ac:dyDescent="0.25">
      <c r="S621" s="10" t="s">
        <v>16</v>
      </c>
      <c r="T621">
        <v>47</v>
      </c>
    </row>
    <row r="622" spans="19:20" x14ac:dyDescent="0.25">
      <c r="S622" s="11" t="s">
        <v>550</v>
      </c>
      <c r="T622">
        <v>47</v>
      </c>
    </row>
    <row r="623" spans="19:20" x14ac:dyDescent="0.25">
      <c r="S623" s="9" t="s">
        <v>215</v>
      </c>
      <c r="T623">
        <v>43</v>
      </c>
    </row>
    <row r="624" spans="19:20" x14ac:dyDescent="0.25">
      <c r="S624" s="10" t="s">
        <v>16</v>
      </c>
      <c r="T624">
        <v>43</v>
      </c>
    </row>
    <row r="625" spans="19:20" x14ac:dyDescent="0.25">
      <c r="S625" s="11" t="s">
        <v>214</v>
      </c>
      <c r="T625">
        <v>43</v>
      </c>
    </row>
    <row r="626" spans="19:20" x14ac:dyDescent="0.25">
      <c r="S626" s="9" t="s">
        <v>1323</v>
      </c>
      <c r="T626">
        <v>28</v>
      </c>
    </row>
    <row r="627" spans="19:20" x14ac:dyDescent="0.25">
      <c r="S627" s="10" t="s">
        <v>9</v>
      </c>
      <c r="T627">
        <v>28</v>
      </c>
    </row>
    <row r="628" spans="19:20" x14ac:dyDescent="0.25">
      <c r="S628" s="11" t="s">
        <v>1322</v>
      </c>
      <c r="T628">
        <v>28</v>
      </c>
    </row>
    <row r="629" spans="19:20" x14ac:dyDescent="0.25">
      <c r="S629" s="9" t="s">
        <v>94</v>
      </c>
      <c r="T629">
        <v>36</v>
      </c>
    </row>
    <row r="630" spans="19:20" x14ac:dyDescent="0.25">
      <c r="S630" s="10" t="s">
        <v>16</v>
      </c>
      <c r="T630">
        <v>36</v>
      </c>
    </row>
    <row r="631" spans="19:20" x14ac:dyDescent="0.25">
      <c r="S631" s="11" t="s">
        <v>93</v>
      </c>
      <c r="T631">
        <v>36</v>
      </c>
    </row>
    <row r="632" spans="19:20" x14ac:dyDescent="0.25">
      <c r="S632" s="9" t="s">
        <v>1398</v>
      </c>
      <c r="T632">
        <v>60</v>
      </c>
    </row>
    <row r="633" spans="19:20" x14ac:dyDescent="0.25">
      <c r="S633" s="10" t="s">
        <v>16</v>
      </c>
      <c r="T633">
        <v>60</v>
      </c>
    </row>
    <row r="634" spans="19:20" x14ac:dyDescent="0.25">
      <c r="S634" s="11" t="s">
        <v>1397</v>
      </c>
      <c r="T634">
        <v>60</v>
      </c>
    </row>
    <row r="635" spans="19:20" x14ac:dyDescent="0.25">
      <c r="S635" s="9" t="s">
        <v>882</v>
      </c>
      <c r="T635">
        <v>22</v>
      </c>
    </row>
    <row r="636" spans="19:20" x14ac:dyDescent="0.25">
      <c r="S636" s="10" t="s">
        <v>16</v>
      </c>
      <c r="T636">
        <v>22</v>
      </c>
    </row>
    <row r="637" spans="19:20" x14ac:dyDescent="0.25">
      <c r="S637" s="11" t="s">
        <v>881</v>
      </c>
      <c r="T637">
        <v>22</v>
      </c>
    </row>
    <row r="638" spans="19:20" x14ac:dyDescent="0.25">
      <c r="S638" s="9" t="s">
        <v>1102</v>
      </c>
      <c r="T638">
        <v>25</v>
      </c>
    </row>
    <row r="639" spans="19:20" x14ac:dyDescent="0.25">
      <c r="S639" s="10" t="s">
        <v>16</v>
      </c>
      <c r="T639">
        <v>25</v>
      </c>
    </row>
    <row r="640" spans="19:20" x14ac:dyDescent="0.25">
      <c r="S640" s="11" t="s">
        <v>1101</v>
      </c>
      <c r="T640">
        <v>25</v>
      </c>
    </row>
    <row r="641" spans="19:20" x14ac:dyDescent="0.25">
      <c r="S641" s="9" t="s">
        <v>940</v>
      </c>
      <c r="T641">
        <v>47</v>
      </c>
    </row>
    <row r="642" spans="19:20" x14ac:dyDescent="0.25">
      <c r="S642" s="10" t="s">
        <v>16</v>
      </c>
      <c r="T642">
        <v>47</v>
      </c>
    </row>
    <row r="643" spans="19:20" x14ac:dyDescent="0.25">
      <c r="S643" s="11" t="s">
        <v>939</v>
      </c>
      <c r="T643">
        <v>47</v>
      </c>
    </row>
    <row r="644" spans="19:20" x14ac:dyDescent="0.25">
      <c r="S644" s="9" t="s">
        <v>918</v>
      </c>
      <c r="T644">
        <v>45</v>
      </c>
    </row>
    <row r="645" spans="19:20" x14ac:dyDescent="0.25">
      <c r="S645" s="10" t="s">
        <v>9</v>
      </c>
      <c r="T645">
        <v>45</v>
      </c>
    </row>
    <row r="646" spans="19:20" x14ac:dyDescent="0.25">
      <c r="S646" s="11" t="s">
        <v>917</v>
      </c>
      <c r="T646">
        <v>45</v>
      </c>
    </row>
    <row r="647" spans="19:20" x14ac:dyDescent="0.25">
      <c r="S647" s="9" t="s">
        <v>293</v>
      </c>
      <c r="T647">
        <v>61</v>
      </c>
    </row>
    <row r="648" spans="19:20" x14ac:dyDescent="0.25">
      <c r="S648" s="10" t="s">
        <v>16</v>
      </c>
      <c r="T648">
        <v>61</v>
      </c>
    </row>
    <row r="649" spans="19:20" x14ac:dyDescent="0.25">
      <c r="S649" s="11" t="s">
        <v>292</v>
      </c>
      <c r="T649">
        <v>61</v>
      </c>
    </row>
    <row r="650" spans="19:20" x14ac:dyDescent="0.25">
      <c r="S650" s="9" t="s">
        <v>1241</v>
      </c>
      <c r="T650">
        <v>54</v>
      </c>
    </row>
    <row r="651" spans="19:20" x14ac:dyDescent="0.25">
      <c r="S651" s="10" t="s">
        <v>9</v>
      </c>
      <c r="T651">
        <v>54</v>
      </c>
    </row>
    <row r="652" spans="19:20" x14ac:dyDescent="0.25">
      <c r="S652" s="11" t="s">
        <v>1240</v>
      </c>
      <c r="T652">
        <v>54</v>
      </c>
    </row>
    <row r="653" spans="19:20" x14ac:dyDescent="0.25">
      <c r="S653" s="9" t="s">
        <v>1293</v>
      </c>
      <c r="T653">
        <v>46</v>
      </c>
    </row>
    <row r="654" spans="19:20" x14ac:dyDescent="0.25">
      <c r="S654" s="10" t="s">
        <v>9</v>
      </c>
      <c r="T654">
        <v>46</v>
      </c>
    </row>
    <row r="655" spans="19:20" x14ac:dyDescent="0.25">
      <c r="S655" s="11" t="s">
        <v>1292</v>
      </c>
      <c r="T655">
        <v>46</v>
      </c>
    </row>
    <row r="656" spans="19:20" x14ac:dyDescent="0.25">
      <c r="S656" s="9" t="s">
        <v>614</v>
      </c>
      <c r="T656">
        <v>53</v>
      </c>
    </row>
    <row r="657" spans="19:20" x14ac:dyDescent="0.25">
      <c r="S657" s="10" t="s">
        <v>9</v>
      </c>
      <c r="T657">
        <v>53</v>
      </c>
    </row>
    <row r="658" spans="19:20" x14ac:dyDescent="0.25">
      <c r="S658" s="11" t="s">
        <v>613</v>
      </c>
      <c r="T658">
        <v>53</v>
      </c>
    </row>
    <row r="659" spans="19:20" x14ac:dyDescent="0.25">
      <c r="S659" s="9" t="s">
        <v>1054</v>
      </c>
      <c r="T659">
        <v>37</v>
      </c>
    </row>
    <row r="660" spans="19:20" x14ac:dyDescent="0.25">
      <c r="S660" s="10" t="s">
        <v>9</v>
      </c>
      <c r="T660">
        <v>37</v>
      </c>
    </row>
    <row r="661" spans="19:20" x14ac:dyDescent="0.25">
      <c r="S661" s="11" t="s">
        <v>1053</v>
      </c>
      <c r="T661">
        <v>37</v>
      </c>
    </row>
    <row r="662" spans="19:20" x14ac:dyDescent="0.25">
      <c r="S662" s="9" t="s">
        <v>973</v>
      </c>
      <c r="T662">
        <v>60</v>
      </c>
    </row>
    <row r="663" spans="19:20" x14ac:dyDescent="0.25">
      <c r="S663" s="10" t="s">
        <v>16</v>
      </c>
      <c r="T663">
        <v>60</v>
      </c>
    </row>
    <row r="664" spans="19:20" x14ac:dyDescent="0.25">
      <c r="S664" s="11" t="s">
        <v>972</v>
      </c>
      <c r="T664">
        <v>60</v>
      </c>
    </row>
    <row r="665" spans="19:20" x14ac:dyDescent="0.25">
      <c r="S665" s="9" t="s">
        <v>1565</v>
      </c>
      <c r="T665">
        <v>59</v>
      </c>
    </row>
    <row r="666" spans="19:20" x14ac:dyDescent="0.25">
      <c r="S666" s="10" t="s">
        <v>16</v>
      </c>
      <c r="T666">
        <v>59</v>
      </c>
    </row>
    <row r="667" spans="19:20" x14ac:dyDescent="0.25">
      <c r="S667" s="11" t="s">
        <v>23</v>
      </c>
      <c r="T667">
        <v>59</v>
      </c>
    </row>
    <row r="668" spans="19:20" x14ac:dyDescent="0.25">
      <c r="S668" s="9" t="s">
        <v>125</v>
      </c>
      <c r="T668">
        <v>64</v>
      </c>
    </row>
    <row r="669" spans="19:20" x14ac:dyDescent="0.25">
      <c r="S669" s="10" t="s">
        <v>16</v>
      </c>
      <c r="T669">
        <v>64</v>
      </c>
    </row>
    <row r="670" spans="19:20" x14ac:dyDescent="0.25">
      <c r="S670" s="11" t="s">
        <v>124</v>
      </c>
      <c r="T670">
        <v>64</v>
      </c>
    </row>
    <row r="671" spans="19:20" x14ac:dyDescent="0.25">
      <c r="S671" s="9" t="s">
        <v>1490</v>
      </c>
      <c r="T671">
        <v>32</v>
      </c>
    </row>
    <row r="672" spans="19:20" x14ac:dyDescent="0.25">
      <c r="S672" s="10" t="s">
        <v>9</v>
      </c>
      <c r="T672">
        <v>32</v>
      </c>
    </row>
    <row r="673" spans="19:20" x14ac:dyDescent="0.25">
      <c r="S673" s="11" t="s">
        <v>1489</v>
      </c>
      <c r="T673">
        <v>32</v>
      </c>
    </row>
    <row r="674" spans="19:20" x14ac:dyDescent="0.25">
      <c r="S674" s="9" t="s">
        <v>1009</v>
      </c>
      <c r="T674">
        <v>34</v>
      </c>
    </row>
    <row r="675" spans="19:20" x14ac:dyDescent="0.25">
      <c r="S675" s="10" t="s">
        <v>16</v>
      </c>
      <c r="T675">
        <v>34</v>
      </c>
    </row>
    <row r="676" spans="19:20" x14ac:dyDescent="0.25">
      <c r="S676" s="11" t="s">
        <v>1008</v>
      </c>
      <c r="T676">
        <v>34</v>
      </c>
    </row>
    <row r="677" spans="19:20" x14ac:dyDescent="0.25">
      <c r="S677" s="9" t="s">
        <v>445</v>
      </c>
      <c r="T677">
        <v>43</v>
      </c>
    </row>
    <row r="678" spans="19:20" x14ac:dyDescent="0.25">
      <c r="S678" s="10" t="s">
        <v>16</v>
      </c>
      <c r="T678">
        <v>43</v>
      </c>
    </row>
    <row r="679" spans="19:20" x14ac:dyDescent="0.25">
      <c r="S679" s="11" t="s">
        <v>444</v>
      </c>
      <c r="T679">
        <v>43</v>
      </c>
    </row>
    <row r="680" spans="19:20" x14ac:dyDescent="0.25">
      <c r="S680" s="9" t="s">
        <v>682</v>
      </c>
      <c r="T680">
        <v>50</v>
      </c>
    </row>
    <row r="681" spans="19:20" x14ac:dyDescent="0.25">
      <c r="S681" s="10" t="s">
        <v>16</v>
      </c>
      <c r="T681">
        <v>50</v>
      </c>
    </row>
    <row r="682" spans="19:20" x14ac:dyDescent="0.25">
      <c r="S682" s="11" t="s">
        <v>681</v>
      </c>
      <c r="T682">
        <v>50</v>
      </c>
    </row>
    <row r="683" spans="19:20" x14ac:dyDescent="0.25">
      <c r="S683" s="9" t="s">
        <v>420</v>
      </c>
      <c r="T683">
        <v>62</v>
      </c>
    </row>
    <row r="684" spans="19:20" x14ac:dyDescent="0.25">
      <c r="S684" s="10" t="s">
        <v>9</v>
      </c>
      <c r="T684">
        <v>62</v>
      </c>
    </row>
    <row r="685" spans="19:20" x14ac:dyDescent="0.25">
      <c r="S685" s="11" t="s">
        <v>419</v>
      </c>
      <c r="T685">
        <v>62</v>
      </c>
    </row>
    <row r="686" spans="19:20" x14ac:dyDescent="0.25">
      <c r="S686" s="9" t="s">
        <v>1404</v>
      </c>
      <c r="T686">
        <v>60</v>
      </c>
    </row>
    <row r="687" spans="19:20" x14ac:dyDescent="0.25">
      <c r="S687" s="10" t="s">
        <v>9</v>
      </c>
      <c r="T687">
        <v>60</v>
      </c>
    </row>
    <row r="688" spans="19:20" x14ac:dyDescent="0.25">
      <c r="S688" s="11" t="s">
        <v>1403</v>
      </c>
      <c r="T688">
        <v>60</v>
      </c>
    </row>
    <row r="689" spans="19:20" x14ac:dyDescent="0.25">
      <c r="S689" s="9" t="s">
        <v>583</v>
      </c>
      <c r="T689">
        <v>48</v>
      </c>
    </row>
    <row r="690" spans="19:20" x14ac:dyDescent="0.25">
      <c r="S690" s="10" t="s">
        <v>9</v>
      </c>
      <c r="T690">
        <v>48</v>
      </c>
    </row>
    <row r="691" spans="19:20" x14ac:dyDescent="0.25">
      <c r="S691" s="11" t="s">
        <v>582</v>
      </c>
      <c r="T691">
        <v>48</v>
      </c>
    </row>
    <row r="692" spans="19:20" x14ac:dyDescent="0.25">
      <c r="S692" s="9" t="s">
        <v>1361</v>
      </c>
      <c r="T692">
        <v>53</v>
      </c>
    </row>
    <row r="693" spans="19:20" x14ac:dyDescent="0.25">
      <c r="S693" s="10" t="s">
        <v>9</v>
      </c>
      <c r="T693">
        <v>53</v>
      </c>
    </row>
    <row r="694" spans="19:20" x14ac:dyDescent="0.25">
      <c r="S694" s="11" t="s">
        <v>1360</v>
      </c>
      <c r="T694">
        <v>53</v>
      </c>
    </row>
    <row r="695" spans="19:20" x14ac:dyDescent="0.25">
      <c r="S695" s="9" t="s">
        <v>1244</v>
      </c>
      <c r="T695">
        <v>27</v>
      </c>
    </row>
    <row r="696" spans="19:20" x14ac:dyDescent="0.25">
      <c r="S696" s="10" t="s">
        <v>9</v>
      </c>
      <c r="T696">
        <v>27</v>
      </c>
    </row>
    <row r="697" spans="19:20" x14ac:dyDescent="0.25">
      <c r="S697" s="11" t="s">
        <v>1243</v>
      </c>
      <c r="T697">
        <v>27</v>
      </c>
    </row>
    <row r="698" spans="19:20" x14ac:dyDescent="0.25">
      <c r="S698" s="9" t="s">
        <v>1057</v>
      </c>
      <c r="T698">
        <v>58</v>
      </c>
    </row>
    <row r="699" spans="19:20" x14ac:dyDescent="0.25">
      <c r="S699" s="10" t="s">
        <v>16</v>
      </c>
      <c r="T699">
        <v>58</v>
      </c>
    </row>
    <row r="700" spans="19:20" x14ac:dyDescent="0.25">
      <c r="S700" s="11" t="s">
        <v>1056</v>
      </c>
      <c r="T700">
        <v>58</v>
      </c>
    </row>
    <row r="701" spans="19:20" x14ac:dyDescent="0.25">
      <c r="S701" s="9" t="s">
        <v>1087</v>
      </c>
      <c r="T701">
        <v>58</v>
      </c>
    </row>
    <row r="702" spans="19:20" x14ac:dyDescent="0.25">
      <c r="S702" s="10" t="s">
        <v>16</v>
      </c>
      <c r="T702">
        <v>58</v>
      </c>
    </row>
    <row r="703" spans="19:20" x14ac:dyDescent="0.25">
      <c r="S703" s="11" t="s">
        <v>1086</v>
      </c>
      <c r="T703">
        <v>58</v>
      </c>
    </row>
    <row r="704" spans="19:20" x14ac:dyDescent="0.25">
      <c r="S704" s="9" t="s">
        <v>536</v>
      </c>
      <c r="T704">
        <v>41</v>
      </c>
    </row>
    <row r="705" spans="19:20" x14ac:dyDescent="0.25">
      <c r="S705" s="10" t="s">
        <v>16</v>
      </c>
      <c r="T705">
        <v>41</v>
      </c>
    </row>
    <row r="706" spans="19:20" x14ac:dyDescent="0.25">
      <c r="S706" s="11" t="s">
        <v>535</v>
      </c>
      <c r="T706">
        <v>41</v>
      </c>
    </row>
    <row r="707" spans="19:20" x14ac:dyDescent="0.25">
      <c r="S707" s="9" t="s">
        <v>272</v>
      </c>
      <c r="T707">
        <v>58</v>
      </c>
    </row>
    <row r="708" spans="19:20" x14ac:dyDescent="0.25">
      <c r="S708" s="10" t="s">
        <v>9</v>
      </c>
      <c r="T708">
        <v>58</v>
      </c>
    </row>
    <row r="709" spans="19:20" x14ac:dyDescent="0.25">
      <c r="S709" s="11" t="s">
        <v>271</v>
      </c>
      <c r="T709">
        <v>58</v>
      </c>
    </row>
    <row r="710" spans="19:20" x14ac:dyDescent="0.25">
      <c r="S710" s="9" t="s">
        <v>807</v>
      </c>
      <c r="T710">
        <v>26</v>
      </c>
    </row>
    <row r="711" spans="19:20" x14ac:dyDescent="0.25">
      <c r="S711" s="10" t="s">
        <v>9</v>
      </c>
      <c r="T711">
        <v>26</v>
      </c>
    </row>
    <row r="712" spans="19:20" x14ac:dyDescent="0.25">
      <c r="S712" s="11" t="s">
        <v>806</v>
      </c>
      <c r="T712">
        <v>26</v>
      </c>
    </row>
    <row r="713" spans="19:20" x14ac:dyDescent="0.25">
      <c r="S713" s="9" t="s">
        <v>439</v>
      </c>
      <c r="T713">
        <v>39</v>
      </c>
    </row>
    <row r="714" spans="19:20" x14ac:dyDescent="0.25">
      <c r="S714" s="10" t="s">
        <v>9</v>
      </c>
      <c r="T714">
        <v>39</v>
      </c>
    </row>
    <row r="715" spans="19:20" x14ac:dyDescent="0.25">
      <c r="S715" s="11" t="s">
        <v>438</v>
      </c>
      <c r="T715">
        <v>39</v>
      </c>
    </row>
    <row r="716" spans="19:20" x14ac:dyDescent="0.25">
      <c r="S716" s="9" t="s">
        <v>679</v>
      </c>
      <c r="T716">
        <v>83</v>
      </c>
    </row>
    <row r="717" spans="19:20" x14ac:dyDescent="0.25">
      <c r="S717" s="10" t="s">
        <v>16</v>
      </c>
      <c r="T717">
        <v>29</v>
      </c>
    </row>
    <row r="718" spans="19:20" x14ac:dyDescent="0.25">
      <c r="S718" s="11" t="s">
        <v>1417</v>
      </c>
      <c r="T718">
        <v>29</v>
      </c>
    </row>
    <row r="719" spans="19:20" x14ac:dyDescent="0.25">
      <c r="S719" s="10" t="s">
        <v>9</v>
      </c>
      <c r="T719">
        <v>54</v>
      </c>
    </row>
    <row r="720" spans="19:20" x14ac:dyDescent="0.25">
      <c r="S720" s="11" t="s">
        <v>678</v>
      </c>
      <c r="T720">
        <v>54</v>
      </c>
    </row>
    <row r="721" spans="19:20" x14ac:dyDescent="0.25">
      <c r="S721" s="9" t="s">
        <v>76</v>
      </c>
      <c r="T721">
        <v>24</v>
      </c>
    </row>
    <row r="722" spans="19:20" x14ac:dyDescent="0.25">
      <c r="S722" s="10" t="s">
        <v>16</v>
      </c>
      <c r="T722">
        <v>24</v>
      </c>
    </row>
    <row r="723" spans="19:20" x14ac:dyDescent="0.25">
      <c r="S723" s="11" t="s">
        <v>75</v>
      </c>
      <c r="T723">
        <v>24</v>
      </c>
    </row>
    <row r="724" spans="19:20" x14ac:dyDescent="0.25">
      <c r="S724" s="9" t="s">
        <v>958</v>
      </c>
      <c r="T724">
        <v>23</v>
      </c>
    </row>
    <row r="725" spans="19:20" x14ac:dyDescent="0.25">
      <c r="S725" s="10" t="s">
        <v>16</v>
      </c>
      <c r="T725">
        <v>23</v>
      </c>
    </row>
    <row r="726" spans="19:20" x14ac:dyDescent="0.25">
      <c r="S726" s="11" t="s">
        <v>957</v>
      </c>
      <c r="T726">
        <v>23</v>
      </c>
    </row>
    <row r="727" spans="19:20" x14ac:dyDescent="0.25">
      <c r="S727" s="9" t="s">
        <v>1338</v>
      </c>
      <c r="T727">
        <v>27</v>
      </c>
    </row>
    <row r="728" spans="19:20" x14ac:dyDescent="0.25">
      <c r="S728" s="10" t="s">
        <v>9</v>
      </c>
      <c r="T728">
        <v>27</v>
      </c>
    </row>
    <row r="729" spans="19:20" x14ac:dyDescent="0.25">
      <c r="S729" s="11" t="s">
        <v>1337</v>
      </c>
      <c r="T729">
        <v>27</v>
      </c>
    </row>
    <row r="730" spans="19:20" x14ac:dyDescent="0.25">
      <c r="S730" s="9" t="s">
        <v>756</v>
      </c>
      <c r="T730">
        <v>28</v>
      </c>
    </row>
    <row r="731" spans="19:20" x14ac:dyDescent="0.25">
      <c r="S731" s="10" t="s">
        <v>16</v>
      </c>
      <c r="T731">
        <v>28</v>
      </c>
    </row>
    <row r="732" spans="19:20" x14ac:dyDescent="0.25">
      <c r="S732" s="11" t="s">
        <v>755</v>
      </c>
      <c r="T732">
        <v>28</v>
      </c>
    </row>
    <row r="733" spans="19:20" x14ac:dyDescent="0.25">
      <c r="S733" s="9" t="s">
        <v>101</v>
      </c>
      <c r="T733">
        <v>52</v>
      </c>
    </row>
    <row r="734" spans="19:20" x14ac:dyDescent="0.25">
      <c r="S734" s="10" t="s">
        <v>16</v>
      </c>
      <c r="T734">
        <v>52</v>
      </c>
    </row>
    <row r="735" spans="19:20" x14ac:dyDescent="0.25">
      <c r="S735" s="11" t="s">
        <v>100</v>
      </c>
      <c r="T735">
        <v>52</v>
      </c>
    </row>
    <row r="736" spans="19:20" x14ac:dyDescent="0.25">
      <c r="S736" s="9" t="s">
        <v>1570</v>
      </c>
      <c r="T736">
        <v>54</v>
      </c>
    </row>
    <row r="737" spans="19:20" x14ac:dyDescent="0.25">
      <c r="S737" s="10" t="s">
        <v>9</v>
      </c>
      <c r="T737">
        <v>54</v>
      </c>
    </row>
    <row r="738" spans="19:20" x14ac:dyDescent="0.25">
      <c r="S738" s="11" t="s">
        <v>175</v>
      </c>
      <c r="T738">
        <v>54</v>
      </c>
    </row>
    <row r="739" spans="19:20" x14ac:dyDescent="0.25">
      <c r="S739" s="9" t="s">
        <v>1479</v>
      </c>
      <c r="T739">
        <v>33</v>
      </c>
    </row>
    <row r="740" spans="19:20" x14ac:dyDescent="0.25">
      <c r="S740" s="10" t="s">
        <v>9</v>
      </c>
      <c r="T740">
        <v>33</v>
      </c>
    </row>
    <row r="741" spans="19:20" x14ac:dyDescent="0.25">
      <c r="S741" s="11" t="s">
        <v>1478</v>
      </c>
      <c r="T741">
        <v>33</v>
      </c>
    </row>
    <row r="742" spans="19:20" x14ac:dyDescent="0.25">
      <c r="S742" s="9" t="s">
        <v>712</v>
      </c>
      <c r="T742">
        <v>47</v>
      </c>
    </row>
    <row r="743" spans="19:20" x14ac:dyDescent="0.25">
      <c r="S743" s="10" t="s">
        <v>16</v>
      </c>
      <c r="T743">
        <v>47</v>
      </c>
    </row>
    <row r="744" spans="19:20" x14ac:dyDescent="0.25">
      <c r="S744" s="11" t="s">
        <v>711</v>
      </c>
      <c r="T744">
        <v>47</v>
      </c>
    </row>
    <row r="745" spans="19:20" x14ac:dyDescent="0.25">
      <c r="S745" s="9" t="s">
        <v>1326</v>
      </c>
      <c r="T745">
        <v>18</v>
      </c>
    </row>
    <row r="746" spans="19:20" x14ac:dyDescent="0.25">
      <c r="S746" s="10" t="s">
        <v>16</v>
      </c>
      <c r="T746">
        <v>18</v>
      </c>
    </row>
    <row r="747" spans="19:20" x14ac:dyDescent="0.25">
      <c r="S747" s="11" t="s">
        <v>1325</v>
      </c>
      <c r="T747">
        <v>18</v>
      </c>
    </row>
    <row r="748" spans="19:20" x14ac:dyDescent="0.25">
      <c r="S748" s="9" t="s">
        <v>515</v>
      </c>
      <c r="T748">
        <v>31</v>
      </c>
    </row>
    <row r="749" spans="19:20" x14ac:dyDescent="0.25">
      <c r="S749" s="10" t="s">
        <v>9</v>
      </c>
      <c r="T749">
        <v>31</v>
      </c>
    </row>
    <row r="750" spans="19:20" x14ac:dyDescent="0.25">
      <c r="S750" s="11" t="s">
        <v>514</v>
      </c>
      <c r="T750">
        <v>31</v>
      </c>
    </row>
    <row r="751" spans="19:20" x14ac:dyDescent="0.25">
      <c r="S751" s="9" t="s">
        <v>545</v>
      </c>
      <c r="T751">
        <v>21</v>
      </c>
    </row>
    <row r="752" spans="19:20" x14ac:dyDescent="0.25">
      <c r="S752" s="10" t="s">
        <v>9</v>
      </c>
      <c r="T752">
        <v>21</v>
      </c>
    </row>
    <row r="753" spans="19:20" x14ac:dyDescent="0.25">
      <c r="S753" s="11" t="s">
        <v>544</v>
      </c>
      <c r="T753">
        <v>21</v>
      </c>
    </row>
    <row r="754" spans="19:20" x14ac:dyDescent="0.25">
      <c r="S754" s="9" t="s">
        <v>1267</v>
      </c>
      <c r="T754">
        <v>33</v>
      </c>
    </row>
    <row r="755" spans="19:20" x14ac:dyDescent="0.25">
      <c r="S755" s="10" t="s">
        <v>9</v>
      </c>
      <c r="T755">
        <v>33</v>
      </c>
    </row>
    <row r="756" spans="19:20" x14ac:dyDescent="0.25">
      <c r="S756" s="11" t="s">
        <v>1266</v>
      </c>
      <c r="T756">
        <v>33</v>
      </c>
    </row>
    <row r="757" spans="19:20" x14ac:dyDescent="0.25">
      <c r="S757" s="9" t="s">
        <v>450</v>
      </c>
      <c r="T757">
        <v>34</v>
      </c>
    </row>
    <row r="758" spans="19:20" x14ac:dyDescent="0.25">
      <c r="S758" s="10" t="s">
        <v>16</v>
      </c>
      <c r="T758">
        <v>34</v>
      </c>
    </row>
    <row r="759" spans="19:20" x14ac:dyDescent="0.25">
      <c r="S759" s="11" t="s">
        <v>449</v>
      </c>
      <c r="T759">
        <v>34</v>
      </c>
    </row>
    <row r="760" spans="19:20" x14ac:dyDescent="0.25">
      <c r="S760" s="9" t="s">
        <v>169</v>
      </c>
      <c r="T760">
        <v>45</v>
      </c>
    </row>
    <row r="761" spans="19:20" x14ac:dyDescent="0.25">
      <c r="S761" s="10" t="s">
        <v>9</v>
      </c>
      <c r="T761">
        <v>45</v>
      </c>
    </row>
    <row r="762" spans="19:20" x14ac:dyDescent="0.25">
      <c r="S762" s="11" t="s">
        <v>168</v>
      </c>
      <c r="T762">
        <v>45</v>
      </c>
    </row>
    <row r="763" spans="19:20" x14ac:dyDescent="0.25">
      <c r="S763" s="9" t="s">
        <v>1173</v>
      </c>
      <c r="T763">
        <v>26</v>
      </c>
    </row>
    <row r="764" spans="19:20" x14ac:dyDescent="0.25">
      <c r="S764" s="10" t="s">
        <v>9</v>
      </c>
      <c r="T764">
        <v>26</v>
      </c>
    </row>
    <row r="765" spans="19:20" x14ac:dyDescent="0.25">
      <c r="S765" s="11" t="s">
        <v>1172</v>
      </c>
      <c r="T765">
        <v>26</v>
      </c>
    </row>
    <row r="766" spans="19:20" x14ac:dyDescent="0.25">
      <c r="S766" s="9" t="s">
        <v>1462</v>
      </c>
      <c r="T766">
        <v>32</v>
      </c>
    </row>
    <row r="767" spans="19:20" x14ac:dyDescent="0.25">
      <c r="S767" s="10" t="s">
        <v>16</v>
      </c>
      <c r="T767">
        <v>32</v>
      </c>
    </row>
    <row r="768" spans="19:20" x14ac:dyDescent="0.25">
      <c r="S768" s="11" t="s">
        <v>1461</v>
      </c>
      <c r="T768">
        <v>32</v>
      </c>
    </row>
    <row r="769" spans="19:20" x14ac:dyDescent="0.25">
      <c r="S769" s="9" t="s">
        <v>119</v>
      </c>
      <c r="T769">
        <v>27</v>
      </c>
    </row>
    <row r="770" spans="19:20" x14ac:dyDescent="0.25">
      <c r="S770" s="10" t="s">
        <v>16</v>
      </c>
      <c r="T770">
        <v>27</v>
      </c>
    </row>
    <row r="771" spans="19:20" x14ac:dyDescent="0.25">
      <c r="S771" s="11" t="s">
        <v>118</v>
      </c>
      <c r="T771">
        <v>27</v>
      </c>
    </row>
    <row r="772" spans="19:20" x14ac:dyDescent="0.25">
      <c r="S772" s="9" t="s">
        <v>1566</v>
      </c>
      <c r="T772">
        <v>60</v>
      </c>
    </row>
    <row r="773" spans="19:20" x14ac:dyDescent="0.25">
      <c r="S773" s="10" t="s">
        <v>9</v>
      </c>
      <c r="T773">
        <v>60</v>
      </c>
    </row>
    <row r="774" spans="19:20" x14ac:dyDescent="0.25">
      <c r="S774" s="11" t="s">
        <v>1133</v>
      </c>
      <c r="T774">
        <v>60</v>
      </c>
    </row>
    <row r="775" spans="19:20" x14ac:dyDescent="0.25">
      <c r="S775" s="9" t="s">
        <v>759</v>
      </c>
      <c r="T775">
        <v>42</v>
      </c>
    </row>
    <row r="776" spans="19:20" x14ac:dyDescent="0.25">
      <c r="S776" s="10" t="s">
        <v>16</v>
      </c>
      <c r="T776">
        <v>42</v>
      </c>
    </row>
    <row r="777" spans="19:20" x14ac:dyDescent="0.25">
      <c r="S777" s="11" t="s">
        <v>758</v>
      </c>
      <c r="T777">
        <v>42</v>
      </c>
    </row>
    <row r="778" spans="19:20" x14ac:dyDescent="0.25">
      <c r="S778" s="9" t="s">
        <v>709</v>
      </c>
      <c r="T778">
        <v>46</v>
      </c>
    </row>
    <row r="779" spans="19:20" x14ac:dyDescent="0.25">
      <c r="S779" s="10" t="s">
        <v>9</v>
      </c>
      <c r="T779">
        <v>46</v>
      </c>
    </row>
    <row r="780" spans="19:20" x14ac:dyDescent="0.25">
      <c r="S780" s="11" t="s">
        <v>708</v>
      </c>
      <c r="T780">
        <v>46</v>
      </c>
    </row>
    <row r="781" spans="19:20" x14ac:dyDescent="0.25">
      <c r="S781" s="9" t="s">
        <v>391</v>
      </c>
      <c r="T781">
        <v>18</v>
      </c>
    </row>
    <row r="782" spans="19:20" x14ac:dyDescent="0.25">
      <c r="S782" s="10" t="s">
        <v>16</v>
      </c>
      <c r="T782">
        <v>18</v>
      </c>
    </row>
    <row r="783" spans="19:20" x14ac:dyDescent="0.25">
      <c r="S783" s="11" t="s">
        <v>390</v>
      </c>
      <c r="T783">
        <v>18</v>
      </c>
    </row>
    <row r="784" spans="19:20" x14ac:dyDescent="0.25">
      <c r="S784" s="9" t="s">
        <v>518</v>
      </c>
      <c r="T784">
        <v>35</v>
      </c>
    </row>
    <row r="785" spans="19:20" x14ac:dyDescent="0.25">
      <c r="S785" s="10" t="s">
        <v>16</v>
      </c>
      <c r="T785">
        <v>35</v>
      </c>
    </row>
    <row r="786" spans="19:20" x14ac:dyDescent="0.25">
      <c r="S786" s="11" t="s">
        <v>517</v>
      </c>
      <c r="T786">
        <v>35</v>
      </c>
    </row>
    <row r="787" spans="19:20" x14ac:dyDescent="0.25">
      <c r="S787" s="9" t="s">
        <v>1409</v>
      </c>
      <c r="T787">
        <v>59</v>
      </c>
    </row>
    <row r="788" spans="19:20" x14ac:dyDescent="0.25">
      <c r="S788" s="10" t="s">
        <v>16</v>
      </c>
      <c r="T788">
        <v>59</v>
      </c>
    </row>
    <row r="789" spans="19:20" x14ac:dyDescent="0.25">
      <c r="S789" s="11" t="s">
        <v>1408</v>
      </c>
      <c r="T789">
        <v>59</v>
      </c>
    </row>
    <row r="790" spans="19:20" x14ac:dyDescent="0.25">
      <c r="S790" s="9" t="s">
        <v>488</v>
      </c>
      <c r="T790">
        <v>62</v>
      </c>
    </row>
    <row r="791" spans="19:20" x14ac:dyDescent="0.25">
      <c r="S791" s="10" t="s">
        <v>16</v>
      </c>
      <c r="T791">
        <v>62</v>
      </c>
    </row>
    <row r="792" spans="19:20" x14ac:dyDescent="0.25">
      <c r="S792" s="11" t="s">
        <v>487</v>
      </c>
      <c r="T792">
        <v>62</v>
      </c>
    </row>
    <row r="793" spans="19:20" x14ac:dyDescent="0.25">
      <c r="S793" s="9" t="s">
        <v>1255</v>
      </c>
      <c r="T793">
        <v>34</v>
      </c>
    </row>
    <row r="794" spans="19:20" x14ac:dyDescent="0.25">
      <c r="S794" s="10" t="s">
        <v>9</v>
      </c>
      <c r="T794">
        <v>34</v>
      </c>
    </row>
    <row r="795" spans="19:20" x14ac:dyDescent="0.25">
      <c r="S795" s="11" t="s">
        <v>1254</v>
      </c>
      <c r="T795">
        <v>34</v>
      </c>
    </row>
    <row r="796" spans="19:20" x14ac:dyDescent="0.25">
      <c r="S796" s="9" t="s">
        <v>1420</v>
      </c>
      <c r="T796">
        <v>35</v>
      </c>
    </row>
    <row r="797" spans="19:20" x14ac:dyDescent="0.25">
      <c r="S797" s="10" t="s">
        <v>9</v>
      </c>
      <c r="T797">
        <v>35</v>
      </c>
    </row>
    <row r="798" spans="19:20" x14ac:dyDescent="0.25">
      <c r="S798" s="11" t="s">
        <v>1419</v>
      </c>
      <c r="T798">
        <v>35</v>
      </c>
    </row>
    <row r="799" spans="19:20" x14ac:dyDescent="0.25">
      <c r="S799" s="9" t="s">
        <v>1519</v>
      </c>
      <c r="T799">
        <v>21</v>
      </c>
    </row>
    <row r="800" spans="19:20" x14ac:dyDescent="0.25">
      <c r="S800" s="10" t="s">
        <v>9</v>
      </c>
      <c r="T800">
        <v>21</v>
      </c>
    </row>
    <row r="801" spans="19:20" x14ac:dyDescent="0.25">
      <c r="S801" s="11" t="s">
        <v>1518</v>
      </c>
      <c r="T801">
        <v>21</v>
      </c>
    </row>
    <row r="802" spans="19:20" x14ac:dyDescent="0.25">
      <c r="S802" s="9" t="s">
        <v>1562</v>
      </c>
      <c r="T802">
        <v>39</v>
      </c>
    </row>
    <row r="803" spans="19:20" x14ac:dyDescent="0.25">
      <c r="S803" s="10" t="s">
        <v>16</v>
      </c>
      <c r="T803">
        <v>39</v>
      </c>
    </row>
    <row r="804" spans="19:20" x14ac:dyDescent="0.25">
      <c r="S804" s="11" t="s">
        <v>1089</v>
      </c>
      <c r="T804">
        <v>39</v>
      </c>
    </row>
    <row r="805" spans="19:20" x14ac:dyDescent="0.25">
      <c r="S805" s="9" t="s">
        <v>1511</v>
      </c>
      <c r="T805">
        <v>52</v>
      </c>
    </row>
    <row r="806" spans="19:20" x14ac:dyDescent="0.25">
      <c r="S806" s="10" t="s">
        <v>16</v>
      </c>
      <c r="T806">
        <v>52</v>
      </c>
    </row>
    <row r="807" spans="19:20" x14ac:dyDescent="0.25">
      <c r="S807" s="11" t="s">
        <v>1510</v>
      </c>
      <c r="T807">
        <v>52</v>
      </c>
    </row>
    <row r="808" spans="19:20" x14ac:dyDescent="0.25">
      <c r="S808" s="9" t="s">
        <v>979</v>
      </c>
      <c r="T808">
        <v>20</v>
      </c>
    </row>
    <row r="809" spans="19:20" x14ac:dyDescent="0.25">
      <c r="S809" s="10" t="s">
        <v>9</v>
      </c>
      <c r="T809">
        <v>20</v>
      </c>
    </row>
    <row r="810" spans="19:20" x14ac:dyDescent="0.25">
      <c r="S810" s="11" t="s">
        <v>978</v>
      </c>
      <c r="T810">
        <v>20</v>
      </c>
    </row>
    <row r="811" spans="19:20" x14ac:dyDescent="0.25">
      <c r="S811" s="9" t="s">
        <v>1296</v>
      </c>
      <c r="T811">
        <v>64</v>
      </c>
    </row>
    <row r="812" spans="19:20" x14ac:dyDescent="0.25">
      <c r="S812" s="10" t="s">
        <v>16</v>
      </c>
      <c r="T812">
        <v>64</v>
      </c>
    </row>
    <row r="813" spans="19:20" x14ac:dyDescent="0.25">
      <c r="S813" s="11" t="s">
        <v>1295</v>
      </c>
      <c r="T813">
        <v>64</v>
      </c>
    </row>
    <row r="814" spans="19:20" x14ac:dyDescent="0.25">
      <c r="S814" s="9" t="s">
        <v>837</v>
      </c>
      <c r="T814">
        <v>60</v>
      </c>
    </row>
    <row r="815" spans="19:20" x14ac:dyDescent="0.25">
      <c r="S815" s="10" t="s">
        <v>16</v>
      </c>
      <c r="T815">
        <v>60</v>
      </c>
    </row>
    <row r="816" spans="19:20" x14ac:dyDescent="0.25">
      <c r="S816" s="11" t="s">
        <v>836</v>
      </c>
      <c r="T816">
        <v>60</v>
      </c>
    </row>
    <row r="817" spans="19:20" x14ac:dyDescent="0.25">
      <c r="S817" s="9" t="s">
        <v>206</v>
      </c>
      <c r="T817">
        <v>24</v>
      </c>
    </row>
    <row r="818" spans="19:20" x14ac:dyDescent="0.25">
      <c r="S818" s="10" t="s">
        <v>9</v>
      </c>
      <c r="T818">
        <v>24</v>
      </c>
    </row>
    <row r="819" spans="19:20" x14ac:dyDescent="0.25">
      <c r="S819" s="11" t="s">
        <v>205</v>
      </c>
      <c r="T819">
        <v>24</v>
      </c>
    </row>
    <row r="820" spans="19:20" x14ac:dyDescent="0.25">
      <c r="S820" s="9" t="s">
        <v>282</v>
      </c>
      <c r="T820">
        <v>29</v>
      </c>
    </row>
    <row r="821" spans="19:20" x14ac:dyDescent="0.25">
      <c r="S821" s="10" t="s">
        <v>9</v>
      </c>
      <c r="T821">
        <v>29</v>
      </c>
    </row>
    <row r="822" spans="19:20" x14ac:dyDescent="0.25">
      <c r="S822" s="11" t="s">
        <v>281</v>
      </c>
      <c r="T822">
        <v>29</v>
      </c>
    </row>
    <row r="823" spans="19:20" x14ac:dyDescent="0.25">
      <c r="S823" s="9" t="s">
        <v>703</v>
      </c>
      <c r="T823">
        <v>44</v>
      </c>
    </row>
    <row r="824" spans="19:20" x14ac:dyDescent="0.25">
      <c r="S824" s="10" t="s">
        <v>9</v>
      </c>
      <c r="T824">
        <v>44</v>
      </c>
    </row>
    <row r="825" spans="19:20" x14ac:dyDescent="0.25">
      <c r="S825" s="11" t="s">
        <v>702</v>
      </c>
      <c r="T825">
        <v>44</v>
      </c>
    </row>
    <row r="826" spans="19:20" x14ac:dyDescent="0.25">
      <c r="S826" s="9" t="s">
        <v>706</v>
      </c>
      <c r="T826">
        <v>42</v>
      </c>
    </row>
    <row r="827" spans="19:20" x14ac:dyDescent="0.25">
      <c r="S827" s="10" t="s">
        <v>9</v>
      </c>
      <c r="T827">
        <v>42</v>
      </c>
    </row>
    <row r="828" spans="19:20" x14ac:dyDescent="0.25">
      <c r="S828" s="11" t="s">
        <v>705</v>
      </c>
      <c r="T828">
        <v>42</v>
      </c>
    </row>
    <row r="829" spans="19:20" x14ac:dyDescent="0.25">
      <c r="S829" s="9" t="s">
        <v>1279</v>
      </c>
      <c r="T829">
        <v>63</v>
      </c>
    </row>
    <row r="830" spans="19:20" x14ac:dyDescent="0.25">
      <c r="S830" s="10" t="s">
        <v>9</v>
      </c>
      <c r="T830">
        <v>63</v>
      </c>
    </row>
    <row r="831" spans="19:20" x14ac:dyDescent="0.25">
      <c r="S831" s="11" t="s">
        <v>1278</v>
      </c>
      <c r="T831">
        <v>63</v>
      </c>
    </row>
    <row r="832" spans="19:20" x14ac:dyDescent="0.25">
      <c r="S832" s="9" t="s">
        <v>432</v>
      </c>
      <c r="T832">
        <v>64</v>
      </c>
    </row>
    <row r="833" spans="19:20" x14ac:dyDescent="0.25">
      <c r="S833" s="10" t="s">
        <v>16</v>
      </c>
      <c r="T833">
        <v>64</v>
      </c>
    </row>
    <row r="834" spans="19:20" x14ac:dyDescent="0.25">
      <c r="S834" s="11" t="s">
        <v>431</v>
      </c>
      <c r="T834">
        <v>64</v>
      </c>
    </row>
    <row r="835" spans="19:20" x14ac:dyDescent="0.25">
      <c r="S835" s="9" t="s">
        <v>1369</v>
      </c>
      <c r="T835">
        <v>42</v>
      </c>
    </row>
    <row r="836" spans="19:20" x14ac:dyDescent="0.25">
      <c r="S836" s="10" t="s">
        <v>16</v>
      </c>
      <c r="T836">
        <v>42</v>
      </c>
    </row>
    <row r="837" spans="19:20" x14ac:dyDescent="0.25">
      <c r="S837" s="11" t="s">
        <v>1368</v>
      </c>
      <c r="T837">
        <v>42</v>
      </c>
    </row>
    <row r="838" spans="19:20" x14ac:dyDescent="0.25">
      <c r="S838" s="9" t="s">
        <v>1415</v>
      </c>
      <c r="T838">
        <v>62</v>
      </c>
    </row>
    <row r="839" spans="19:20" x14ac:dyDescent="0.25">
      <c r="S839" s="10" t="s">
        <v>16</v>
      </c>
      <c r="T839">
        <v>62</v>
      </c>
    </row>
    <row r="840" spans="19:20" x14ac:dyDescent="0.25">
      <c r="S840" s="11" t="s">
        <v>1414</v>
      </c>
      <c r="T840">
        <v>62</v>
      </c>
    </row>
    <row r="841" spans="19:20" x14ac:dyDescent="0.25">
      <c r="S841" s="9" t="s">
        <v>60</v>
      </c>
      <c r="T841">
        <v>55</v>
      </c>
    </row>
    <row r="842" spans="19:20" x14ac:dyDescent="0.25">
      <c r="S842" s="10" t="s">
        <v>16</v>
      </c>
      <c r="T842">
        <v>55</v>
      </c>
    </row>
    <row r="843" spans="19:20" x14ac:dyDescent="0.25">
      <c r="S843" s="11" t="s">
        <v>59</v>
      </c>
      <c r="T843">
        <v>55</v>
      </c>
    </row>
    <row r="844" spans="19:20" x14ac:dyDescent="0.25">
      <c r="S844" s="9" t="s">
        <v>982</v>
      </c>
      <c r="T844">
        <v>35</v>
      </c>
    </row>
    <row r="845" spans="19:20" x14ac:dyDescent="0.25">
      <c r="S845" s="10" t="s">
        <v>9</v>
      </c>
      <c r="T845">
        <v>35</v>
      </c>
    </row>
    <row r="846" spans="19:20" x14ac:dyDescent="0.25">
      <c r="S846" s="11" t="s">
        <v>981</v>
      </c>
      <c r="T846">
        <v>35</v>
      </c>
    </row>
    <row r="847" spans="19:20" x14ac:dyDescent="0.25">
      <c r="S847" s="9" t="s">
        <v>855</v>
      </c>
      <c r="T847">
        <v>53</v>
      </c>
    </row>
    <row r="848" spans="19:20" x14ac:dyDescent="0.25">
      <c r="S848" s="10" t="s">
        <v>16</v>
      </c>
      <c r="T848">
        <v>53</v>
      </c>
    </row>
    <row r="849" spans="19:20" x14ac:dyDescent="0.25">
      <c r="S849" s="11" t="s">
        <v>854</v>
      </c>
      <c r="T849">
        <v>53</v>
      </c>
    </row>
    <row r="850" spans="19:20" x14ac:dyDescent="0.25">
      <c r="S850" s="9" t="s">
        <v>620</v>
      </c>
      <c r="T850">
        <v>42</v>
      </c>
    </row>
    <row r="851" spans="19:20" x14ac:dyDescent="0.25">
      <c r="S851" s="10" t="s">
        <v>9</v>
      </c>
      <c r="T851">
        <v>42</v>
      </c>
    </row>
    <row r="852" spans="19:20" x14ac:dyDescent="0.25">
      <c r="S852" s="11" t="s">
        <v>619</v>
      </c>
      <c r="T852">
        <v>42</v>
      </c>
    </row>
    <row r="853" spans="19:20" x14ac:dyDescent="0.25">
      <c r="S853" s="9" t="s">
        <v>1335</v>
      </c>
      <c r="T853">
        <v>36</v>
      </c>
    </row>
    <row r="854" spans="19:20" x14ac:dyDescent="0.25">
      <c r="S854" s="10" t="s">
        <v>16</v>
      </c>
      <c r="T854">
        <v>36</v>
      </c>
    </row>
    <row r="855" spans="19:20" x14ac:dyDescent="0.25">
      <c r="S855" s="11" t="s">
        <v>1334</v>
      </c>
      <c r="T855">
        <v>36</v>
      </c>
    </row>
    <row r="856" spans="19:20" x14ac:dyDescent="0.25">
      <c r="S856" s="9" t="s">
        <v>819</v>
      </c>
      <c r="T856">
        <v>57</v>
      </c>
    </row>
    <row r="857" spans="19:20" x14ac:dyDescent="0.25">
      <c r="S857" s="10" t="s">
        <v>9</v>
      </c>
      <c r="T857">
        <v>57</v>
      </c>
    </row>
    <row r="858" spans="19:20" x14ac:dyDescent="0.25">
      <c r="S858" s="11" t="s">
        <v>818</v>
      </c>
      <c r="T858">
        <v>57</v>
      </c>
    </row>
    <row r="859" spans="19:20" x14ac:dyDescent="0.25">
      <c r="S859" s="9" t="s">
        <v>897</v>
      </c>
      <c r="T859">
        <v>46</v>
      </c>
    </row>
    <row r="860" spans="19:20" x14ac:dyDescent="0.25">
      <c r="S860" s="10" t="s">
        <v>16</v>
      </c>
      <c r="T860">
        <v>46</v>
      </c>
    </row>
    <row r="861" spans="19:20" x14ac:dyDescent="0.25">
      <c r="S861" s="11" t="s">
        <v>896</v>
      </c>
      <c r="T861">
        <v>46</v>
      </c>
    </row>
    <row r="862" spans="19:20" x14ac:dyDescent="0.25">
      <c r="S862" s="9" t="s">
        <v>228</v>
      </c>
      <c r="T862">
        <v>23</v>
      </c>
    </row>
    <row r="863" spans="19:20" x14ac:dyDescent="0.25">
      <c r="S863" s="10" t="s">
        <v>9</v>
      </c>
      <c r="T863">
        <v>23</v>
      </c>
    </row>
    <row r="864" spans="19:20" x14ac:dyDescent="0.25">
      <c r="S864" s="11" t="s">
        <v>227</v>
      </c>
      <c r="T864">
        <v>23</v>
      </c>
    </row>
    <row r="865" spans="19:20" x14ac:dyDescent="0.25">
      <c r="S865" s="9" t="s">
        <v>1197</v>
      </c>
      <c r="T865">
        <v>27</v>
      </c>
    </row>
    <row r="866" spans="19:20" x14ac:dyDescent="0.25">
      <c r="S866" s="10" t="s">
        <v>16</v>
      </c>
      <c r="T866">
        <v>27</v>
      </c>
    </row>
    <row r="867" spans="19:20" x14ac:dyDescent="0.25">
      <c r="S867" s="11" t="s">
        <v>1196</v>
      </c>
      <c r="T867">
        <v>27</v>
      </c>
    </row>
    <row r="868" spans="19:20" x14ac:dyDescent="0.25">
      <c r="S868" s="9" t="s">
        <v>1018</v>
      </c>
      <c r="T868">
        <v>64</v>
      </c>
    </row>
    <row r="869" spans="19:20" x14ac:dyDescent="0.25">
      <c r="S869" s="10" t="s">
        <v>16</v>
      </c>
      <c r="T869">
        <v>64</v>
      </c>
    </row>
    <row r="870" spans="19:20" x14ac:dyDescent="0.25">
      <c r="S870" s="11" t="s">
        <v>1017</v>
      </c>
      <c r="T870">
        <v>64</v>
      </c>
    </row>
    <row r="871" spans="19:20" x14ac:dyDescent="0.25">
      <c r="S871" s="9" t="s">
        <v>296</v>
      </c>
      <c r="T871">
        <v>34</v>
      </c>
    </row>
    <row r="872" spans="19:20" x14ac:dyDescent="0.25">
      <c r="S872" s="10" t="s">
        <v>16</v>
      </c>
      <c r="T872">
        <v>34</v>
      </c>
    </row>
    <row r="873" spans="19:20" x14ac:dyDescent="0.25">
      <c r="S873" s="11" t="s">
        <v>295</v>
      </c>
      <c r="T873">
        <v>34</v>
      </c>
    </row>
    <row r="874" spans="19:20" x14ac:dyDescent="0.25">
      <c r="S874" s="9" t="s">
        <v>373</v>
      </c>
      <c r="T874">
        <v>50</v>
      </c>
    </row>
    <row r="875" spans="19:20" x14ac:dyDescent="0.25">
      <c r="S875" s="10" t="s">
        <v>16</v>
      </c>
      <c r="T875">
        <v>50</v>
      </c>
    </row>
    <row r="876" spans="19:20" x14ac:dyDescent="0.25">
      <c r="S876" s="11" t="s">
        <v>372</v>
      </c>
      <c r="T876">
        <v>50</v>
      </c>
    </row>
    <row r="877" spans="19:20" x14ac:dyDescent="0.25">
      <c r="S877" s="9" t="s">
        <v>72</v>
      </c>
      <c r="T877">
        <v>49</v>
      </c>
    </row>
    <row r="878" spans="19:20" x14ac:dyDescent="0.25">
      <c r="S878" s="10" t="s">
        <v>16</v>
      </c>
      <c r="T878">
        <v>49</v>
      </c>
    </row>
    <row r="879" spans="19:20" x14ac:dyDescent="0.25">
      <c r="S879" s="11" t="s">
        <v>71</v>
      </c>
      <c r="T879">
        <v>49</v>
      </c>
    </row>
    <row r="880" spans="19:20" x14ac:dyDescent="0.25">
      <c r="S880" s="9" t="s">
        <v>1577</v>
      </c>
      <c r="T880">
        <v>56</v>
      </c>
    </row>
    <row r="881" spans="19:20" x14ac:dyDescent="0.25">
      <c r="S881" s="10" t="s">
        <v>16</v>
      </c>
      <c r="T881">
        <v>56</v>
      </c>
    </row>
    <row r="882" spans="19:20" x14ac:dyDescent="0.25">
      <c r="S882" s="11" t="s">
        <v>1107</v>
      </c>
      <c r="T882">
        <v>56</v>
      </c>
    </row>
    <row r="883" spans="19:20" x14ac:dyDescent="0.25">
      <c r="S883" s="9" t="s">
        <v>1459</v>
      </c>
      <c r="T883">
        <v>53</v>
      </c>
    </row>
    <row r="884" spans="19:20" x14ac:dyDescent="0.25">
      <c r="S884" s="10" t="s">
        <v>9</v>
      </c>
      <c r="T884">
        <v>53</v>
      </c>
    </row>
    <row r="885" spans="19:20" x14ac:dyDescent="0.25">
      <c r="S885" s="11" t="s">
        <v>1458</v>
      </c>
      <c r="T885">
        <v>53</v>
      </c>
    </row>
    <row r="886" spans="19:20" x14ac:dyDescent="0.25">
      <c r="S886" s="9" t="s">
        <v>786</v>
      </c>
      <c r="T886">
        <v>57</v>
      </c>
    </row>
    <row r="887" spans="19:20" x14ac:dyDescent="0.25">
      <c r="S887" s="10" t="s">
        <v>16</v>
      </c>
      <c r="T887">
        <v>57</v>
      </c>
    </row>
    <row r="888" spans="19:20" x14ac:dyDescent="0.25">
      <c r="S888" s="11" t="s">
        <v>785</v>
      </c>
      <c r="T888">
        <v>57</v>
      </c>
    </row>
    <row r="889" spans="19:20" x14ac:dyDescent="0.25">
      <c r="S889" s="9" t="s">
        <v>798</v>
      </c>
      <c r="T889">
        <v>41</v>
      </c>
    </row>
    <row r="890" spans="19:20" x14ac:dyDescent="0.25">
      <c r="S890" s="10" t="s">
        <v>16</v>
      </c>
      <c r="T890">
        <v>41</v>
      </c>
    </row>
    <row r="891" spans="19:20" x14ac:dyDescent="0.25">
      <c r="S891" s="11" t="s">
        <v>797</v>
      </c>
      <c r="T891">
        <v>41</v>
      </c>
    </row>
    <row r="892" spans="19:20" x14ac:dyDescent="0.25">
      <c r="S892" s="9" t="s">
        <v>608</v>
      </c>
      <c r="T892">
        <v>46</v>
      </c>
    </row>
    <row r="893" spans="19:20" x14ac:dyDescent="0.25">
      <c r="S893" s="10" t="s">
        <v>16</v>
      </c>
      <c r="T893">
        <v>46</v>
      </c>
    </row>
    <row r="894" spans="19:20" x14ac:dyDescent="0.25">
      <c r="S894" s="11" t="s">
        <v>607</v>
      </c>
      <c r="T894">
        <v>46</v>
      </c>
    </row>
    <row r="895" spans="19:20" x14ac:dyDescent="0.25">
      <c r="S895" s="9" t="s">
        <v>115</v>
      </c>
      <c r="T895">
        <v>31</v>
      </c>
    </row>
    <row r="896" spans="19:20" x14ac:dyDescent="0.25">
      <c r="S896" s="10" t="s">
        <v>9</v>
      </c>
      <c r="T896">
        <v>31</v>
      </c>
    </row>
    <row r="897" spans="19:20" x14ac:dyDescent="0.25">
      <c r="S897" s="11" t="s">
        <v>114</v>
      </c>
      <c r="T897">
        <v>31</v>
      </c>
    </row>
    <row r="898" spans="19:20" x14ac:dyDescent="0.25">
      <c r="S898" s="9" t="s">
        <v>813</v>
      </c>
      <c r="T898">
        <v>34</v>
      </c>
    </row>
    <row r="899" spans="19:20" x14ac:dyDescent="0.25">
      <c r="S899" s="10" t="s">
        <v>9</v>
      </c>
      <c r="T899">
        <v>34</v>
      </c>
    </row>
    <row r="900" spans="19:20" x14ac:dyDescent="0.25">
      <c r="S900" s="11" t="s">
        <v>812</v>
      </c>
      <c r="T900">
        <v>34</v>
      </c>
    </row>
    <row r="901" spans="19:20" x14ac:dyDescent="0.25">
      <c r="S901" s="9" t="s">
        <v>1350</v>
      </c>
      <c r="T901">
        <v>37</v>
      </c>
    </row>
    <row r="902" spans="19:20" x14ac:dyDescent="0.25">
      <c r="S902" s="10" t="s">
        <v>16</v>
      </c>
      <c r="T902">
        <v>37</v>
      </c>
    </row>
    <row r="903" spans="19:20" x14ac:dyDescent="0.25">
      <c r="S903" s="11" t="s">
        <v>1349</v>
      </c>
      <c r="T903">
        <v>37</v>
      </c>
    </row>
    <row r="904" spans="19:20" x14ac:dyDescent="0.25">
      <c r="S904" s="9" t="s">
        <v>933</v>
      </c>
      <c r="T904">
        <v>29</v>
      </c>
    </row>
    <row r="905" spans="19:20" x14ac:dyDescent="0.25">
      <c r="S905" s="10" t="s">
        <v>9</v>
      </c>
      <c r="T905">
        <v>29</v>
      </c>
    </row>
    <row r="906" spans="19:20" x14ac:dyDescent="0.25">
      <c r="S906" s="11" t="s">
        <v>932</v>
      </c>
      <c r="T906">
        <v>29</v>
      </c>
    </row>
    <row r="907" spans="19:20" x14ac:dyDescent="0.25">
      <c r="S907" s="9" t="s">
        <v>717</v>
      </c>
      <c r="T907">
        <v>38</v>
      </c>
    </row>
    <row r="908" spans="19:20" x14ac:dyDescent="0.25">
      <c r="S908" s="10" t="s">
        <v>9</v>
      </c>
      <c r="T908">
        <v>38</v>
      </c>
    </row>
    <row r="909" spans="19:20" x14ac:dyDescent="0.25">
      <c r="S909" s="11" t="s">
        <v>716</v>
      </c>
      <c r="T909">
        <v>38</v>
      </c>
    </row>
    <row r="910" spans="19:20" x14ac:dyDescent="0.25">
      <c r="S910" s="9" t="s">
        <v>1299</v>
      </c>
      <c r="T910">
        <v>60</v>
      </c>
    </row>
    <row r="911" spans="19:20" x14ac:dyDescent="0.25">
      <c r="S911" s="10" t="s">
        <v>16</v>
      </c>
      <c r="T911">
        <v>60</v>
      </c>
    </row>
    <row r="912" spans="19:20" x14ac:dyDescent="0.25">
      <c r="S912" s="11" t="s">
        <v>1298</v>
      </c>
      <c r="T912">
        <v>60</v>
      </c>
    </row>
    <row r="913" spans="19:20" x14ac:dyDescent="0.25">
      <c r="S913" s="9" t="s">
        <v>1003</v>
      </c>
      <c r="T913">
        <v>25</v>
      </c>
    </row>
    <row r="914" spans="19:20" x14ac:dyDescent="0.25">
      <c r="S914" s="10" t="s">
        <v>9</v>
      </c>
      <c r="T914">
        <v>25</v>
      </c>
    </row>
    <row r="915" spans="19:20" x14ac:dyDescent="0.25">
      <c r="S915" s="11" t="s">
        <v>1002</v>
      </c>
      <c r="T915">
        <v>25</v>
      </c>
    </row>
    <row r="916" spans="19:20" x14ac:dyDescent="0.25">
      <c r="S916" s="9" t="s">
        <v>1146</v>
      </c>
      <c r="T916">
        <v>40</v>
      </c>
    </row>
    <row r="917" spans="19:20" x14ac:dyDescent="0.25">
      <c r="S917" s="10" t="s">
        <v>16</v>
      </c>
      <c r="T917">
        <v>40</v>
      </c>
    </row>
    <row r="918" spans="19:20" x14ac:dyDescent="0.25">
      <c r="S918" s="11" t="s">
        <v>1145</v>
      </c>
      <c r="T918">
        <v>40</v>
      </c>
    </row>
    <row r="919" spans="19:20" x14ac:dyDescent="0.25">
      <c r="S919" s="9" t="s">
        <v>1119</v>
      </c>
      <c r="T919">
        <v>41</v>
      </c>
    </row>
    <row r="920" spans="19:20" x14ac:dyDescent="0.25">
      <c r="S920" s="10" t="s">
        <v>9</v>
      </c>
      <c r="T920">
        <v>41</v>
      </c>
    </row>
    <row r="921" spans="19:20" x14ac:dyDescent="0.25">
      <c r="S921" s="11" t="s">
        <v>1118</v>
      </c>
      <c r="T921">
        <v>41</v>
      </c>
    </row>
    <row r="922" spans="19:20" x14ac:dyDescent="0.25">
      <c r="S922" s="9" t="s">
        <v>1450</v>
      </c>
      <c r="T922">
        <v>21</v>
      </c>
    </row>
    <row r="923" spans="19:20" x14ac:dyDescent="0.25">
      <c r="S923" s="10" t="s">
        <v>16</v>
      </c>
      <c r="T923">
        <v>21</v>
      </c>
    </row>
    <row r="924" spans="19:20" x14ac:dyDescent="0.25">
      <c r="S924" s="11" t="s">
        <v>1449</v>
      </c>
      <c r="T924">
        <v>21</v>
      </c>
    </row>
    <row r="925" spans="19:20" x14ac:dyDescent="0.25">
      <c r="S925" s="9" t="s">
        <v>577</v>
      </c>
      <c r="T925">
        <v>26</v>
      </c>
    </row>
    <row r="926" spans="19:20" x14ac:dyDescent="0.25">
      <c r="S926" s="10" t="s">
        <v>16</v>
      </c>
      <c r="T926">
        <v>26</v>
      </c>
    </row>
    <row r="927" spans="19:20" x14ac:dyDescent="0.25">
      <c r="S927" s="11" t="s">
        <v>576</v>
      </c>
      <c r="T927">
        <v>26</v>
      </c>
    </row>
    <row r="928" spans="19:20" x14ac:dyDescent="0.25">
      <c r="S928" s="9" t="s">
        <v>768</v>
      </c>
      <c r="T928">
        <v>58</v>
      </c>
    </row>
    <row r="929" spans="19:20" x14ac:dyDescent="0.25">
      <c r="S929" s="10" t="s">
        <v>16</v>
      </c>
      <c r="T929">
        <v>58</v>
      </c>
    </row>
    <row r="930" spans="19:20" x14ac:dyDescent="0.25">
      <c r="S930" s="11" t="s">
        <v>767</v>
      </c>
      <c r="T930">
        <v>58</v>
      </c>
    </row>
    <row r="931" spans="19:20" x14ac:dyDescent="0.25">
      <c r="S931" s="9" t="s">
        <v>1042</v>
      </c>
      <c r="T931">
        <v>38</v>
      </c>
    </row>
    <row r="932" spans="19:20" x14ac:dyDescent="0.25">
      <c r="S932" s="10" t="s">
        <v>16</v>
      </c>
      <c r="T932">
        <v>38</v>
      </c>
    </row>
    <row r="933" spans="19:20" x14ac:dyDescent="0.25">
      <c r="S933" s="11" t="s">
        <v>1041</v>
      </c>
      <c r="T933">
        <v>38</v>
      </c>
    </row>
    <row r="934" spans="19:20" x14ac:dyDescent="0.25">
      <c r="S934" s="9" t="s">
        <v>482</v>
      </c>
      <c r="T934">
        <v>37</v>
      </c>
    </row>
    <row r="935" spans="19:20" x14ac:dyDescent="0.25">
      <c r="S935" s="10" t="s">
        <v>9</v>
      </c>
      <c r="T935">
        <v>37</v>
      </c>
    </row>
    <row r="936" spans="19:20" x14ac:dyDescent="0.25">
      <c r="S936" s="11" t="s">
        <v>481</v>
      </c>
      <c r="T936">
        <v>37</v>
      </c>
    </row>
    <row r="937" spans="19:20" x14ac:dyDescent="0.25">
      <c r="S937" s="9" t="s">
        <v>524</v>
      </c>
      <c r="T937">
        <v>46</v>
      </c>
    </row>
    <row r="938" spans="19:20" x14ac:dyDescent="0.25">
      <c r="S938" s="10" t="s">
        <v>9</v>
      </c>
      <c r="T938">
        <v>46</v>
      </c>
    </row>
    <row r="939" spans="19:20" x14ac:dyDescent="0.25">
      <c r="S939" s="11" t="s">
        <v>523</v>
      </c>
      <c r="T939">
        <v>46</v>
      </c>
    </row>
    <row r="940" spans="19:20" x14ac:dyDescent="0.25">
      <c r="S940" s="9" t="s">
        <v>542</v>
      </c>
      <c r="T940">
        <v>37</v>
      </c>
    </row>
    <row r="941" spans="19:20" x14ac:dyDescent="0.25">
      <c r="S941" s="10" t="s">
        <v>9</v>
      </c>
      <c r="T941">
        <v>37</v>
      </c>
    </row>
    <row r="942" spans="19:20" x14ac:dyDescent="0.25">
      <c r="S942" s="11" t="s">
        <v>541</v>
      </c>
      <c r="T942">
        <v>37</v>
      </c>
    </row>
    <row r="943" spans="19:20" x14ac:dyDescent="0.25">
      <c r="S943" s="9" t="s">
        <v>1033</v>
      </c>
      <c r="T943">
        <v>46</v>
      </c>
    </row>
    <row r="944" spans="19:20" x14ac:dyDescent="0.25">
      <c r="S944" s="10" t="s">
        <v>9</v>
      </c>
      <c r="T944">
        <v>46</v>
      </c>
    </row>
    <row r="945" spans="19:20" x14ac:dyDescent="0.25">
      <c r="S945" s="11" t="s">
        <v>1032</v>
      </c>
      <c r="T945">
        <v>46</v>
      </c>
    </row>
    <row r="946" spans="19:20" x14ac:dyDescent="0.25">
      <c r="S946" s="9" t="s">
        <v>605</v>
      </c>
      <c r="T946">
        <v>18</v>
      </c>
    </row>
    <row r="947" spans="19:20" x14ac:dyDescent="0.25">
      <c r="S947" s="10" t="s">
        <v>9</v>
      </c>
      <c r="T947">
        <v>18</v>
      </c>
    </row>
    <row r="948" spans="19:20" x14ac:dyDescent="0.25">
      <c r="S948" s="11" t="s">
        <v>604</v>
      </c>
      <c r="T948">
        <v>18</v>
      </c>
    </row>
    <row r="949" spans="19:20" x14ac:dyDescent="0.25">
      <c r="S949" s="9" t="s">
        <v>1247</v>
      </c>
      <c r="T949">
        <v>57</v>
      </c>
    </row>
    <row r="950" spans="19:20" x14ac:dyDescent="0.25">
      <c r="S950" s="10" t="s">
        <v>16</v>
      </c>
      <c r="T950">
        <v>57</v>
      </c>
    </row>
    <row r="951" spans="19:20" x14ac:dyDescent="0.25">
      <c r="S951" s="11" t="s">
        <v>1246</v>
      </c>
      <c r="T951">
        <v>57</v>
      </c>
    </row>
    <row r="952" spans="19:20" x14ac:dyDescent="0.25">
      <c r="S952" s="9" t="s">
        <v>1194</v>
      </c>
      <c r="T952">
        <v>20</v>
      </c>
    </row>
    <row r="953" spans="19:20" x14ac:dyDescent="0.25">
      <c r="S953" s="10" t="s">
        <v>16</v>
      </c>
      <c r="T953">
        <v>20</v>
      </c>
    </row>
    <row r="954" spans="19:20" x14ac:dyDescent="0.25">
      <c r="S954" s="11" t="s">
        <v>1193</v>
      </c>
      <c r="T954">
        <v>20</v>
      </c>
    </row>
    <row r="955" spans="19:20" x14ac:dyDescent="0.25">
      <c r="S955" s="9" t="s">
        <v>658</v>
      </c>
      <c r="T955">
        <v>25</v>
      </c>
    </row>
    <row r="956" spans="19:20" x14ac:dyDescent="0.25">
      <c r="S956" s="10" t="s">
        <v>16</v>
      </c>
      <c r="T956">
        <v>25</v>
      </c>
    </row>
    <row r="957" spans="19:20" x14ac:dyDescent="0.25">
      <c r="S957" s="11" t="s">
        <v>657</v>
      </c>
      <c r="T957">
        <v>25</v>
      </c>
    </row>
    <row r="958" spans="19:20" x14ac:dyDescent="0.25">
      <c r="S958" s="9" t="s">
        <v>789</v>
      </c>
      <c r="T958">
        <v>58</v>
      </c>
    </row>
    <row r="959" spans="19:20" x14ac:dyDescent="0.25">
      <c r="S959" s="10" t="s">
        <v>9</v>
      </c>
      <c r="T959">
        <v>58</v>
      </c>
    </row>
    <row r="960" spans="19:20" x14ac:dyDescent="0.25">
      <c r="S960" s="11" t="s">
        <v>788</v>
      </c>
      <c r="T960">
        <v>58</v>
      </c>
    </row>
    <row r="961" spans="19:20" x14ac:dyDescent="0.25">
      <c r="S961" s="9" t="s">
        <v>949</v>
      </c>
      <c r="T961">
        <v>29</v>
      </c>
    </row>
    <row r="962" spans="19:20" x14ac:dyDescent="0.25">
      <c r="S962" s="10" t="s">
        <v>9</v>
      </c>
      <c r="T962">
        <v>29</v>
      </c>
    </row>
    <row r="963" spans="19:20" x14ac:dyDescent="0.25">
      <c r="S963" s="11" t="s">
        <v>948</v>
      </c>
      <c r="T963">
        <v>29</v>
      </c>
    </row>
    <row r="964" spans="19:20" x14ac:dyDescent="0.25">
      <c r="S964" s="9" t="s">
        <v>462</v>
      </c>
      <c r="T964">
        <v>33</v>
      </c>
    </row>
    <row r="965" spans="19:20" x14ac:dyDescent="0.25">
      <c r="S965" s="10" t="s">
        <v>16</v>
      </c>
      <c r="T965">
        <v>33</v>
      </c>
    </row>
    <row r="966" spans="19:20" x14ac:dyDescent="0.25">
      <c r="S966" s="11" t="s">
        <v>461</v>
      </c>
      <c r="T966">
        <v>33</v>
      </c>
    </row>
    <row r="967" spans="19:20" x14ac:dyDescent="0.25">
      <c r="S967" s="9" t="s">
        <v>192</v>
      </c>
      <c r="T967">
        <v>61</v>
      </c>
    </row>
    <row r="968" spans="19:20" x14ac:dyDescent="0.25">
      <c r="S968" s="10" t="s">
        <v>16</v>
      </c>
      <c r="T968">
        <v>61</v>
      </c>
    </row>
    <row r="969" spans="19:20" x14ac:dyDescent="0.25">
      <c r="S969" s="11" t="s">
        <v>191</v>
      </c>
      <c r="T969">
        <v>61</v>
      </c>
    </row>
    <row r="970" spans="19:20" x14ac:dyDescent="0.25">
      <c r="S970" s="9" t="s">
        <v>843</v>
      </c>
      <c r="T970">
        <v>25</v>
      </c>
    </row>
    <row r="971" spans="19:20" x14ac:dyDescent="0.25">
      <c r="S971" s="10" t="s">
        <v>9</v>
      </c>
      <c r="T971">
        <v>25</v>
      </c>
    </row>
    <row r="972" spans="19:20" x14ac:dyDescent="0.25">
      <c r="S972" s="11" t="s">
        <v>842</v>
      </c>
      <c r="T972">
        <v>25</v>
      </c>
    </row>
    <row r="973" spans="19:20" x14ac:dyDescent="0.25">
      <c r="S973" s="9" t="s">
        <v>644</v>
      </c>
      <c r="T973">
        <v>18</v>
      </c>
    </row>
    <row r="974" spans="19:20" x14ac:dyDescent="0.25">
      <c r="S974" s="10" t="s">
        <v>16</v>
      </c>
      <c r="T974">
        <v>18</v>
      </c>
    </row>
    <row r="975" spans="19:20" x14ac:dyDescent="0.25">
      <c r="S975" s="11" t="s">
        <v>643</v>
      </c>
      <c r="T975">
        <v>18</v>
      </c>
    </row>
    <row r="976" spans="19:20" x14ac:dyDescent="0.25">
      <c r="S976" s="9" t="s">
        <v>1284</v>
      </c>
      <c r="T976">
        <v>59</v>
      </c>
    </row>
    <row r="977" spans="19:20" x14ac:dyDescent="0.25">
      <c r="S977" s="10" t="s">
        <v>16</v>
      </c>
      <c r="T977">
        <v>59</v>
      </c>
    </row>
    <row r="978" spans="19:20" x14ac:dyDescent="0.25">
      <c r="S978" s="11" t="s">
        <v>1283</v>
      </c>
      <c r="T978">
        <v>59</v>
      </c>
    </row>
    <row r="979" spans="19:20" x14ac:dyDescent="0.25">
      <c r="S979" s="9" t="s">
        <v>1125</v>
      </c>
      <c r="T979">
        <v>32</v>
      </c>
    </row>
    <row r="980" spans="19:20" x14ac:dyDescent="0.25">
      <c r="S980" s="10" t="s">
        <v>9</v>
      </c>
      <c r="T980">
        <v>32</v>
      </c>
    </row>
    <row r="981" spans="19:20" x14ac:dyDescent="0.25">
      <c r="S981" s="11" t="s">
        <v>1124</v>
      </c>
      <c r="T981">
        <v>32</v>
      </c>
    </row>
    <row r="982" spans="19:20" x14ac:dyDescent="0.25">
      <c r="S982" s="9" t="s">
        <v>1206</v>
      </c>
      <c r="T982">
        <v>18</v>
      </c>
    </row>
    <row r="983" spans="19:20" x14ac:dyDescent="0.25">
      <c r="S983" s="10" t="s">
        <v>16</v>
      </c>
      <c r="T983">
        <v>18</v>
      </c>
    </row>
    <row r="984" spans="19:20" x14ac:dyDescent="0.25">
      <c r="S984" s="11" t="s">
        <v>1205</v>
      </c>
      <c r="T984">
        <v>18</v>
      </c>
    </row>
    <row r="985" spans="19:20" x14ac:dyDescent="0.25">
      <c r="S985" s="9" t="s">
        <v>1149</v>
      </c>
      <c r="T985">
        <v>51</v>
      </c>
    </row>
    <row r="986" spans="19:20" x14ac:dyDescent="0.25">
      <c r="S986" s="10" t="s">
        <v>9</v>
      </c>
      <c r="T986">
        <v>51</v>
      </c>
    </row>
    <row r="987" spans="19:20" x14ac:dyDescent="0.25">
      <c r="S987" s="11" t="s">
        <v>1148</v>
      </c>
      <c r="T987">
        <v>51</v>
      </c>
    </row>
    <row r="988" spans="19:20" x14ac:dyDescent="0.25">
      <c r="S988" s="9" t="s">
        <v>1356</v>
      </c>
      <c r="T988">
        <v>47</v>
      </c>
    </row>
    <row r="989" spans="19:20" x14ac:dyDescent="0.25">
      <c r="S989" s="10" t="s">
        <v>16</v>
      </c>
      <c r="T989">
        <v>47</v>
      </c>
    </row>
    <row r="990" spans="19:20" x14ac:dyDescent="0.25">
      <c r="S990" s="11" t="s">
        <v>1355</v>
      </c>
      <c r="T990">
        <v>47</v>
      </c>
    </row>
    <row r="991" spans="19:20" x14ac:dyDescent="0.25">
      <c r="S991" s="9" t="s">
        <v>1505</v>
      </c>
      <c r="T991">
        <v>42</v>
      </c>
    </row>
    <row r="992" spans="19:20" x14ac:dyDescent="0.25">
      <c r="S992" s="10" t="s">
        <v>16</v>
      </c>
      <c r="T992">
        <v>42</v>
      </c>
    </row>
    <row r="993" spans="19:20" x14ac:dyDescent="0.25">
      <c r="S993" s="11" t="s">
        <v>1504</v>
      </c>
      <c r="T993">
        <v>42</v>
      </c>
    </row>
    <row r="994" spans="19:20" x14ac:dyDescent="0.25">
      <c r="S994" s="9" t="s">
        <v>1559</v>
      </c>
      <c r="T994">
        <v>58</v>
      </c>
    </row>
    <row r="995" spans="19:20" x14ac:dyDescent="0.25">
      <c r="S995" s="10" t="s">
        <v>16</v>
      </c>
      <c r="T995">
        <v>58</v>
      </c>
    </row>
    <row r="996" spans="19:20" x14ac:dyDescent="0.25">
      <c r="S996" s="11" t="s">
        <v>314</v>
      </c>
      <c r="T996">
        <v>58</v>
      </c>
    </row>
    <row r="997" spans="19:20" x14ac:dyDescent="0.25">
      <c r="S997" s="9" t="s">
        <v>602</v>
      </c>
      <c r="T997">
        <v>23</v>
      </c>
    </row>
    <row r="998" spans="19:20" x14ac:dyDescent="0.25">
      <c r="S998" s="10" t="s">
        <v>16</v>
      </c>
      <c r="T998">
        <v>23</v>
      </c>
    </row>
    <row r="999" spans="19:20" x14ac:dyDescent="0.25">
      <c r="S999" s="11" t="s">
        <v>601</v>
      </c>
      <c r="T999">
        <v>23</v>
      </c>
    </row>
    <row r="1000" spans="19:20" x14ac:dyDescent="0.25">
      <c r="S1000" s="9" t="s">
        <v>45</v>
      </c>
      <c r="T1000">
        <v>53</v>
      </c>
    </row>
    <row r="1001" spans="19:20" x14ac:dyDescent="0.25">
      <c r="S1001" s="10" t="s">
        <v>16</v>
      </c>
      <c r="T1001">
        <v>53</v>
      </c>
    </row>
    <row r="1002" spans="19:20" x14ac:dyDescent="0.25">
      <c r="S1002" s="11" t="s">
        <v>44</v>
      </c>
      <c r="T1002">
        <v>53</v>
      </c>
    </row>
    <row r="1003" spans="19:20" x14ac:dyDescent="0.25">
      <c r="S1003" s="9" t="s">
        <v>1287</v>
      </c>
      <c r="T1003">
        <v>35</v>
      </c>
    </row>
    <row r="1004" spans="19:20" x14ac:dyDescent="0.25">
      <c r="S1004" s="10" t="s">
        <v>16</v>
      </c>
      <c r="T1004">
        <v>35</v>
      </c>
    </row>
    <row r="1005" spans="19:20" x14ac:dyDescent="0.25">
      <c r="S1005" s="11" t="s">
        <v>1286</v>
      </c>
      <c r="T1005">
        <v>35</v>
      </c>
    </row>
    <row r="1006" spans="19:20" x14ac:dyDescent="0.25">
      <c r="S1006" s="9" t="s">
        <v>423</v>
      </c>
      <c r="T1006">
        <v>50</v>
      </c>
    </row>
    <row r="1007" spans="19:20" x14ac:dyDescent="0.25">
      <c r="S1007" s="10" t="s">
        <v>9</v>
      </c>
      <c r="T1007">
        <v>50</v>
      </c>
    </row>
    <row r="1008" spans="19:20" x14ac:dyDescent="0.25">
      <c r="S1008" s="11" t="s">
        <v>422</v>
      </c>
      <c r="T1008">
        <v>50</v>
      </c>
    </row>
    <row r="1009" spans="19:20" x14ac:dyDescent="0.25">
      <c r="S1009" s="9" t="s">
        <v>235</v>
      </c>
      <c r="T1009">
        <v>51</v>
      </c>
    </row>
    <row r="1010" spans="19:20" x14ac:dyDescent="0.25">
      <c r="S1010" s="10" t="s">
        <v>9</v>
      </c>
      <c r="T1010">
        <v>51</v>
      </c>
    </row>
    <row r="1011" spans="19:20" x14ac:dyDescent="0.25">
      <c r="S1011" s="11" t="s">
        <v>234</v>
      </c>
      <c r="T1011">
        <v>51</v>
      </c>
    </row>
    <row r="1012" spans="19:20" x14ac:dyDescent="0.25">
      <c r="S1012" s="9" t="s">
        <v>509</v>
      </c>
      <c r="T1012">
        <v>25</v>
      </c>
    </row>
    <row r="1013" spans="19:20" x14ac:dyDescent="0.25">
      <c r="S1013" s="10" t="s">
        <v>16</v>
      </c>
      <c r="T1013">
        <v>25</v>
      </c>
    </row>
    <row r="1014" spans="19:20" x14ac:dyDescent="0.25">
      <c r="S1014" s="11" t="s">
        <v>508</v>
      </c>
      <c r="T1014">
        <v>25</v>
      </c>
    </row>
    <row r="1015" spans="19:20" x14ac:dyDescent="0.25">
      <c r="S1015" s="9" t="s">
        <v>1441</v>
      </c>
      <c r="T1015">
        <v>63</v>
      </c>
    </row>
    <row r="1016" spans="19:20" x14ac:dyDescent="0.25">
      <c r="S1016" s="10" t="s">
        <v>16</v>
      </c>
      <c r="T1016">
        <v>63</v>
      </c>
    </row>
    <row r="1017" spans="19:20" x14ac:dyDescent="0.25">
      <c r="S1017" s="11" t="s">
        <v>1440</v>
      </c>
      <c r="T1017">
        <v>63</v>
      </c>
    </row>
    <row r="1018" spans="19:20" x14ac:dyDescent="0.25">
      <c r="S1018" s="9" t="s">
        <v>1161</v>
      </c>
      <c r="T1018">
        <v>21</v>
      </c>
    </row>
    <row r="1019" spans="19:20" x14ac:dyDescent="0.25">
      <c r="S1019" s="10" t="s">
        <v>16</v>
      </c>
      <c r="T1019">
        <v>21</v>
      </c>
    </row>
    <row r="1020" spans="19:20" x14ac:dyDescent="0.25">
      <c r="S1020" s="11" t="s">
        <v>1160</v>
      </c>
      <c r="T1020">
        <v>21</v>
      </c>
    </row>
    <row r="1021" spans="19:20" x14ac:dyDescent="0.25">
      <c r="S1021" s="9" t="s">
        <v>1105</v>
      </c>
      <c r="T1021">
        <v>52</v>
      </c>
    </row>
    <row r="1022" spans="19:20" x14ac:dyDescent="0.25">
      <c r="S1022" s="10" t="s">
        <v>16</v>
      </c>
      <c r="T1022">
        <v>52</v>
      </c>
    </row>
    <row r="1023" spans="19:20" x14ac:dyDescent="0.25">
      <c r="S1023" s="11" t="s">
        <v>1104</v>
      </c>
      <c r="T1023">
        <v>52</v>
      </c>
    </row>
    <row r="1024" spans="19:20" x14ac:dyDescent="0.25">
      <c r="S1024" s="9" t="s">
        <v>415</v>
      </c>
      <c r="T1024">
        <v>40</v>
      </c>
    </row>
    <row r="1025" spans="19:20" x14ac:dyDescent="0.25">
      <c r="S1025" s="10" t="s">
        <v>9</v>
      </c>
      <c r="T1025">
        <v>40</v>
      </c>
    </row>
    <row r="1026" spans="19:20" x14ac:dyDescent="0.25">
      <c r="S1026" s="11" t="s">
        <v>414</v>
      </c>
      <c r="T1026">
        <v>40</v>
      </c>
    </row>
    <row r="1027" spans="19:20" x14ac:dyDescent="0.25">
      <c r="S1027" s="9" t="s">
        <v>1227</v>
      </c>
      <c r="T1027">
        <v>46</v>
      </c>
    </row>
    <row r="1028" spans="19:20" x14ac:dyDescent="0.25">
      <c r="S1028" s="10" t="s">
        <v>9</v>
      </c>
      <c r="T1028">
        <v>46</v>
      </c>
    </row>
    <row r="1029" spans="19:20" x14ac:dyDescent="0.25">
      <c r="S1029" s="11" t="s">
        <v>1226</v>
      </c>
      <c r="T1029">
        <v>46</v>
      </c>
    </row>
    <row r="1030" spans="19:20" x14ac:dyDescent="0.25">
      <c r="S1030" s="9" t="s">
        <v>242</v>
      </c>
      <c r="T1030">
        <v>21</v>
      </c>
    </row>
    <row r="1031" spans="19:20" x14ac:dyDescent="0.25">
      <c r="S1031" s="10" t="s">
        <v>16</v>
      </c>
      <c r="T1031">
        <v>21</v>
      </c>
    </row>
    <row r="1032" spans="19:20" x14ac:dyDescent="0.25">
      <c r="S1032" s="11" t="s">
        <v>241</v>
      </c>
      <c r="T1032">
        <v>21</v>
      </c>
    </row>
    <row r="1033" spans="19:20" x14ac:dyDescent="0.25">
      <c r="S1033" s="9" t="s">
        <v>86</v>
      </c>
      <c r="T1033">
        <v>46</v>
      </c>
    </row>
    <row r="1034" spans="19:20" x14ac:dyDescent="0.25">
      <c r="S1034" s="10" t="s">
        <v>16</v>
      </c>
      <c r="T1034">
        <v>46</v>
      </c>
    </row>
    <row r="1035" spans="19:20" x14ac:dyDescent="0.25">
      <c r="S1035" s="11" t="s">
        <v>85</v>
      </c>
      <c r="T1035">
        <v>46</v>
      </c>
    </row>
    <row r="1036" spans="19:20" x14ac:dyDescent="0.25">
      <c r="S1036" s="9" t="s">
        <v>1176</v>
      </c>
      <c r="T1036">
        <v>30</v>
      </c>
    </row>
    <row r="1037" spans="19:20" x14ac:dyDescent="0.25">
      <c r="S1037" s="10" t="s">
        <v>9</v>
      </c>
      <c r="T1037">
        <v>30</v>
      </c>
    </row>
    <row r="1038" spans="19:20" x14ac:dyDescent="0.25">
      <c r="S1038" s="11" t="s">
        <v>1175</v>
      </c>
      <c r="T1038">
        <v>30</v>
      </c>
    </row>
    <row r="1039" spans="19:20" x14ac:dyDescent="0.25">
      <c r="S1039" s="9" t="s">
        <v>670</v>
      </c>
      <c r="T1039">
        <v>44</v>
      </c>
    </row>
    <row r="1040" spans="19:20" x14ac:dyDescent="0.25">
      <c r="S1040" s="10" t="s">
        <v>16</v>
      </c>
      <c r="T1040">
        <v>44</v>
      </c>
    </row>
    <row r="1041" spans="19:20" x14ac:dyDescent="0.25">
      <c r="S1041" s="11" t="s">
        <v>669</v>
      </c>
      <c r="T1041">
        <v>44</v>
      </c>
    </row>
    <row r="1042" spans="19:20" x14ac:dyDescent="0.25">
      <c r="S1042" s="9" t="s">
        <v>1075</v>
      </c>
      <c r="T1042">
        <v>30</v>
      </c>
    </row>
    <row r="1043" spans="19:20" x14ac:dyDescent="0.25">
      <c r="S1043" s="10" t="s">
        <v>16</v>
      </c>
      <c r="T1043">
        <v>30</v>
      </c>
    </row>
    <row r="1044" spans="19:20" x14ac:dyDescent="0.25">
      <c r="S1044" s="11" t="s">
        <v>1074</v>
      </c>
      <c r="T1044">
        <v>30</v>
      </c>
    </row>
    <row r="1045" spans="19:20" x14ac:dyDescent="0.25">
      <c r="S1045" s="9" t="s">
        <v>1563</v>
      </c>
      <c r="T1045">
        <v>55</v>
      </c>
    </row>
    <row r="1046" spans="19:20" x14ac:dyDescent="0.25">
      <c r="S1046" s="10" t="s">
        <v>16</v>
      </c>
      <c r="T1046">
        <v>55</v>
      </c>
    </row>
    <row r="1047" spans="19:20" x14ac:dyDescent="0.25">
      <c r="S1047" s="11" t="s">
        <v>178</v>
      </c>
      <c r="T1047">
        <v>55</v>
      </c>
    </row>
    <row r="1048" spans="19:20" x14ac:dyDescent="0.25">
      <c r="S1048" s="9" t="s">
        <v>750</v>
      </c>
      <c r="T1048">
        <v>59</v>
      </c>
    </row>
    <row r="1049" spans="19:20" x14ac:dyDescent="0.25">
      <c r="S1049" s="10" t="s">
        <v>9</v>
      </c>
      <c r="T1049">
        <v>59</v>
      </c>
    </row>
    <row r="1050" spans="19:20" x14ac:dyDescent="0.25">
      <c r="S1050" s="11" t="s">
        <v>749</v>
      </c>
      <c r="T1050">
        <v>59</v>
      </c>
    </row>
    <row r="1051" spans="19:20" x14ac:dyDescent="0.25">
      <c r="S1051" s="9" t="s">
        <v>590</v>
      </c>
      <c r="T1051">
        <v>33</v>
      </c>
    </row>
    <row r="1052" spans="19:20" x14ac:dyDescent="0.25">
      <c r="S1052" s="10" t="s">
        <v>16</v>
      </c>
      <c r="T1052">
        <v>33</v>
      </c>
    </row>
    <row r="1053" spans="19:20" x14ac:dyDescent="0.25">
      <c r="S1053" s="11" t="s">
        <v>589</v>
      </c>
      <c r="T1053">
        <v>33</v>
      </c>
    </row>
    <row r="1054" spans="19:20" x14ac:dyDescent="0.25">
      <c r="S1054" s="9" t="s">
        <v>580</v>
      </c>
      <c r="T1054">
        <v>56</v>
      </c>
    </row>
    <row r="1055" spans="19:20" x14ac:dyDescent="0.25">
      <c r="S1055" s="10" t="s">
        <v>9</v>
      </c>
      <c r="T1055">
        <v>56</v>
      </c>
    </row>
    <row r="1056" spans="19:20" x14ac:dyDescent="0.25">
      <c r="S1056" s="11" t="s">
        <v>579</v>
      </c>
      <c r="T1056">
        <v>56</v>
      </c>
    </row>
    <row r="1057" spans="19:20" x14ac:dyDescent="0.25">
      <c r="S1057" s="9" t="s">
        <v>453</v>
      </c>
      <c r="T1057">
        <v>57</v>
      </c>
    </row>
    <row r="1058" spans="19:20" x14ac:dyDescent="0.25">
      <c r="S1058" s="10" t="s">
        <v>16</v>
      </c>
      <c r="T1058">
        <v>57</v>
      </c>
    </row>
    <row r="1059" spans="19:20" x14ac:dyDescent="0.25">
      <c r="S1059" s="11" t="s">
        <v>452</v>
      </c>
      <c r="T1059">
        <v>57</v>
      </c>
    </row>
    <row r="1060" spans="19:20" x14ac:dyDescent="0.25">
      <c r="S1060" s="9" t="s">
        <v>131</v>
      </c>
      <c r="T1060">
        <v>48</v>
      </c>
    </row>
    <row r="1061" spans="19:20" x14ac:dyDescent="0.25">
      <c r="S1061" s="10" t="s">
        <v>16</v>
      </c>
      <c r="T1061">
        <v>48</v>
      </c>
    </row>
    <row r="1062" spans="19:20" x14ac:dyDescent="0.25">
      <c r="S1062" s="11" t="s">
        <v>130</v>
      </c>
      <c r="T1062">
        <v>48</v>
      </c>
    </row>
    <row r="1063" spans="19:20" x14ac:dyDescent="0.25">
      <c r="S1063" s="9" t="s">
        <v>1152</v>
      </c>
      <c r="T1063">
        <v>34</v>
      </c>
    </row>
    <row r="1064" spans="19:20" x14ac:dyDescent="0.25">
      <c r="S1064" s="10" t="s">
        <v>16</v>
      </c>
      <c r="T1064">
        <v>34</v>
      </c>
    </row>
    <row r="1065" spans="19:20" x14ac:dyDescent="0.25">
      <c r="S1065" s="11" t="s">
        <v>1151</v>
      </c>
      <c r="T1065">
        <v>34</v>
      </c>
    </row>
    <row r="1066" spans="19:20" x14ac:dyDescent="0.25">
      <c r="S1066" s="9" t="s">
        <v>1572</v>
      </c>
      <c r="T1066">
        <v>41</v>
      </c>
    </row>
    <row r="1067" spans="19:20" x14ac:dyDescent="0.25">
      <c r="S1067" s="10" t="s">
        <v>9</v>
      </c>
      <c r="T1067">
        <v>41</v>
      </c>
    </row>
    <row r="1068" spans="19:20" x14ac:dyDescent="0.25">
      <c r="S1068" s="11" t="s">
        <v>960</v>
      </c>
      <c r="T1068">
        <v>41</v>
      </c>
    </row>
    <row r="1069" spans="19:20" x14ac:dyDescent="0.25">
      <c r="S1069" s="9" t="s">
        <v>915</v>
      </c>
      <c r="T1069">
        <v>58</v>
      </c>
    </row>
    <row r="1070" spans="19:20" x14ac:dyDescent="0.25">
      <c r="S1070" s="10" t="s">
        <v>9</v>
      </c>
      <c r="T1070">
        <v>58</v>
      </c>
    </row>
    <row r="1071" spans="19:20" x14ac:dyDescent="0.25">
      <c r="S1071" s="11" t="s">
        <v>914</v>
      </c>
      <c r="T1071">
        <v>58</v>
      </c>
    </row>
    <row r="1072" spans="19:20" x14ac:dyDescent="0.25">
      <c r="S1072" s="9" t="s">
        <v>289</v>
      </c>
      <c r="T1072">
        <v>22</v>
      </c>
    </row>
    <row r="1073" spans="19:20" x14ac:dyDescent="0.25">
      <c r="S1073" s="10" t="s">
        <v>16</v>
      </c>
      <c r="T1073">
        <v>22</v>
      </c>
    </row>
    <row r="1074" spans="19:20" x14ac:dyDescent="0.25">
      <c r="S1074" s="11" t="s">
        <v>288</v>
      </c>
      <c r="T1074">
        <v>22</v>
      </c>
    </row>
    <row r="1075" spans="19:20" x14ac:dyDescent="0.25">
      <c r="S1075" s="9" t="s">
        <v>1358</v>
      </c>
      <c r="T1075">
        <v>59</v>
      </c>
    </row>
    <row r="1076" spans="19:20" x14ac:dyDescent="0.25">
      <c r="S1076" s="10" t="s">
        <v>16</v>
      </c>
      <c r="T1076">
        <v>59</v>
      </c>
    </row>
    <row r="1077" spans="19:20" x14ac:dyDescent="0.25">
      <c r="S1077" s="11" t="s">
        <v>1357</v>
      </c>
      <c r="T1077">
        <v>59</v>
      </c>
    </row>
    <row r="1078" spans="19:20" x14ac:dyDescent="0.25">
      <c r="S1078" s="9" t="s">
        <v>1302</v>
      </c>
      <c r="T1078">
        <v>33</v>
      </c>
    </row>
    <row r="1079" spans="19:20" x14ac:dyDescent="0.25">
      <c r="S1079" s="10" t="s">
        <v>9</v>
      </c>
      <c r="T1079">
        <v>33</v>
      </c>
    </row>
    <row r="1080" spans="19:20" x14ac:dyDescent="0.25">
      <c r="S1080" s="11" t="s">
        <v>1301</v>
      </c>
      <c r="T1080">
        <v>33</v>
      </c>
    </row>
    <row r="1081" spans="19:20" x14ac:dyDescent="0.25">
      <c r="S1081" s="9" t="s">
        <v>1384</v>
      </c>
      <c r="T1081">
        <v>45</v>
      </c>
    </row>
    <row r="1082" spans="19:20" x14ac:dyDescent="0.25">
      <c r="S1082" s="10" t="s">
        <v>9</v>
      </c>
      <c r="T1082">
        <v>45</v>
      </c>
    </row>
    <row r="1083" spans="19:20" x14ac:dyDescent="0.25">
      <c r="S1083" s="11" t="s">
        <v>1383</v>
      </c>
      <c r="T1083">
        <v>45</v>
      </c>
    </row>
    <row r="1084" spans="19:20" x14ac:dyDescent="0.25">
      <c r="S1084" s="9" t="s">
        <v>1347</v>
      </c>
      <c r="T1084">
        <v>48</v>
      </c>
    </row>
    <row r="1085" spans="19:20" x14ac:dyDescent="0.25">
      <c r="S1085" s="10" t="s">
        <v>16</v>
      </c>
      <c r="T1085">
        <v>48</v>
      </c>
    </row>
    <row r="1086" spans="19:20" x14ac:dyDescent="0.25">
      <c r="S1086" s="11" t="s">
        <v>1346</v>
      </c>
      <c r="T1086">
        <v>48</v>
      </c>
    </row>
    <row r="1087" spans="19:20" x14ac:dyDescent="0.25">
      <c r="S1087" s="9" t="s">
        <v>459</v>
      </c>
      <c r="T1087">
        <v>54</v>
      </c>
    </row>
    <row r="1088" spans="19:20" x14ac:dyDescent="0.25">
      <c r="S1088" s="10" t="s">
        <v>9</v>
      </c>
      <c r="T1088">
        <v>54</v>
      </c>
    </row>
    <row r="1089" spans="19:20" x14ac:dyDescent="0.25">
      <c r="S1089" s="11" t="s">
        <v>458</v>
      </c>
      <c r="T1089">
        <v>54</v>
      </c>
    </row>
    <row r="1090" spans="19:20" x14ac:dyDescent="0.25">
      <c r="S1090" s="9" t="s">
        <v>1051</v>
      </c>
      <c r="T1090">
        <v>50</v>
      </c>
    </row>
    <row r="1091" spans="19:20" x14ac:dyDescent="0.25">
      <c r="S1091" s="10" t="s">
        <v>16</v>
      </c>
      <c r="T1091">
        <v>50</v>
      </c>
    </row>
    <row r="1092" spans="19:20" x14ac:dyDescent="0.25">
      <c r="S1092" s="11" t="s">
        <v>1050</v>
      </c>
      <c r="T1092">
        <v>50</v>
      </c>
    </row>
    <row r="1093" spans="19:20" x14ac:dyDescent="0.25">
      <c r="S1093" s="9" t="s">
        <v>252</v>
      </c>
      <c r="T1093">
        <v>24</v>
      </c>
    </row>
    <row r="1094" spans="19:20" x14ac:dyDescent="0.25">
      <c r="S1094" s="10" t="s">
        <v>16</v>
      </c>
      <c r="T1094">
        <v>24</v>
      </c>
    </row>
    <row r="1095" spans="19:20" x14ac:dyDescent="0.25">
      <c r="S1095" s="11" t="s">
        <v>251</v>
      </c>
      <c r="T1095">
        <v>24</v>
      </c>
    </row>
    <row r="1096" spans="19:20" x14ac:dyDescent="0.25">
      <c r="S1096" s="9" t="s">
        <v>239</v>
      </c>
      <c r="T1096">
        <v>33</v>
      </c>
    </row>
    <row r="1097" spans="19:20" x14ac:dyDescent="0.25">
      <c r="S1097" s="10" t="s">
        <v>9</v>
      </c>
      <c r="T1097">
        <v>33</v>
      </c>
    </row>
    <row r="1098" spans="19:20" x14ac:dyDescent="0.25">
      <c r="S1098" s="11" t="s">
        <v>238</v>
      </c>
      <c r="T1098">
        <v>33</v>
      </c>
    </row>
    <row r="1099" spans="19:20" x14ac:dyDescent="0.25">
      <c r="S1099" s="9" t="s">
        <v>774</v>
      </c>
      <c r="T1099">
        <v>31</v>
      </c>
    </row>
    <row r="1100" spans="19:20" x14ac:dyDescent="0.25">
      <c r="S1100" s="10" t="s">
        <v>9</v>
      </c>
      <c r="T1100">
        <v>31</v>
      </c>
    </row>
    <row r="1101" spans="19:20" x14ac:dyDescent="0.25">
      <c r="S1101" s="11" t="s">
        <v>773</v>
      </c>
      <c r="T1101">
        <v>31</v>
      </c>
    </row>
    <row r="1102" spans="19:20" x14ac:dyDescent="0.25">
      <c r="S1102" s="9" t="s">
        <v>1066</v>
      </c>
      <c r="T1102">
        <v>52</v>
      </c>
    </row>
    <row r="1103" spans="19:20" x14ac:dyDescent="0.25">
      <c r="S1103" s="10" t="s">
        <v>16</v>
      </c>
      <c r="T1103">
        <v>52</v>
      </c>
    </row>
    <row r="1104" spans="19:20" x14ac:dyDescent="0.25">
      <c r="S1104" s="11" t="s">
        <v>1065</v>
      </c>
      <c r="T1104">
        <v>52</v>
      </c>
    </row>
    <row r="1105" spans="19:20" x14ac:dyDescent="0.25">
      <c r="S1105" s="9" t="s">
        <v>49</v>
      </c>
      <c r="T1105">
        <v>64</v>
      </c>
    </row>
    <row r="1106" spans="19:20" x14ac:dyDescent="0.25">
      <c r="S1106" s="10" t="s">
        <v>9</v>
      </c>
      <c r="T1106">
        <v>64</v>
      </c>
    </row>
    <row r="1107" spans="19:20" x14ac:dyDescent="0.25">
      <c r="S1107" s="11" t="s">
        <v>48</v>
      </c>
      <c r="T1107">
        <v>64</v>
      </c>
    </row>
    <row r="1108" spans="19:20" x14ac:dyDescent="0.25">
      <c r="S1108" s="9" t="s">
        <v>783</v>
      </c>
      <c r="T1108">
        <v>19</v>
      </c>
    </row>
    <row r="1109" spans="19:20" x14ac:dyDescent="0.25">
      <c r="S1109" s="10" t="s">
        <v>9</v>
      </c>
      <c r="T1109">
        <v>19</v>
      </c>
    </row>
    <row r="1110" spans="19:20" x14ac:dyDescent="0.25">
      <c r="S1110" s="11" t="s">
        <v>782</v>
      </c>
      <c r="T1110">
        <v>19</v>
      </c>
    </row>
    <row r="1111" spans="19:20" x14ac:dyDescent="0.25">
      <c r="S1111" s="9" t="s">
        <v>1131</v>
      </c>
      <c r="T1111">
        <v>64</v>
      </c>
    </row>
    <row r="1112" spans="19:20" x14ac:dyDescent="0.25">
      <c r="S1112" s="10" t="s">
        <v>9</v>
      </c>
      <c r="T1112">
        <v>64</v>
      </c>
    </row>
    <row r="1113" spans="19:20" x14ac:dyDescent="0.25">
      <c r="S1113" s="11" t="s">
        <v>1130</v>
      </c>
      <c r="T1113">
        <v>64</v>
      </c>
    </row>
    <row r="1114" spans="19:20" x14ac:dyDescent="0.25">
      <c r="S1114" s="9" t="s">
        <v>279</v>
      </c>
      <c r="T1114">
        <v>37</v>
      </c>
    </row>
    <row r="1115" spans="19:20" x14ac:dyDescent="0.25">
      <c r="S1115" s="10" t="s">
        <v>9</v>
      </c>
      <c r="T1115">
        <v>37</v>
      </c>
    </row>
    <row r="1116" spans="19:20" x14ac:dyDescent="0.25">
      <c r="S1116" s="11" t="s">
        <v>278</v>
      </c>
      <c r="T1116">
        <v>37</v>
      </c>
    </row>
    <row r="1117" spans="19:20" x14ac:dyDescent="0.25">
      <c r="S1117" s="9" t="s">
        <v>64</v>
      </c>
      <c r="T1117">
        <v>32</v>
      </c>
    </row>
    <row r="1118" spans="19:20" x14ac:dyDescent="0.25">
      <c r="S1118" s="10" t="s">
        <v>16</v>
      </c>
      <c r="T1118">
        <v>32</v>
      </c>
    </row>
    <row r="1119" spans="19:20" x14ac:dyDescent="0.25">
      <c r="S1119" s="11" t="s">
        <v>63</v>
      </c>
      <c r="T1119">
        <v>32</v>
      </c>
    </row>
    <row r="1120" spans="19:20" x14ac:dyDescent="0.25">
      <c r="S1120" s="9" t="s">
        <v>753</v>
      </c>
      <c r="T1120">
        <v>43</v>
      </c>
    </row>
    <row r="1121" spans="19:20" x14ac:dyDescent="0.25">
      <c r="S1121" s="10" t="s">
        <v>16</v>
      </c>
      <c r="T1121">
        <v>43</v>
      </c>
    </row>
    <row r="1122" spans="19:20" x14ac:dyDescent="0.25">
      <c r="S1122" s="11" t="s">
        <v>752</v>
      </c>
      <c r="T1122">
        <v>43</v>
      </c>
    </row>
    <row r="1123" spans="19:20" x14ac:dyDescent="0.25">
      <c r="S1123" s="9" t="s">
        <v>593</v>
      </c>
      <c r="T1123">
        <v>43</v>
      </c>
    </row>
    <row r="1124" spans="19:20" x14ac:dyDescent="0.25">
      <c r="S1124" s="10" t="s">
        <v>16</v>
      </c>
      <c r="T1124">
        <v>43</v>
      </c>
    </row>
    <row r="1125" spans="19:20" x14ac:dyDescent="0.25">
      <c r="S1125" s="11" t="s">
        <v>592</v>
      </c>
      <c r="T1125">
        <v>43</v>
      </c>
    </row>
    <row r="1126" spans="19:20" x14ac:dyDescent="0.25">
      <c r="S1126" s="9" t="s">
        <v>795</v>
      </c>
      <c r="T1126">
        <v>19</v>
      </c>
    </row>
    <row r="1127" spans="19:20" x14ac:dyDescent="0.25">
      <c r="S1127" s="10" t="s">
        <v>9</v>
      </c>
      <c r="T1127">
        <v>19</v>
      </c>
    </row>
    <row r="1128" spans="19:20" x14ac:dyDescent="0.25">
      <c r="S1128" s="11" t="s">
        <v>794</v>
      </c>
      <c r="T1128">
        <v>19</v>
      </c>
    </row>
    <row r="1129" spans="19:20" x14ac:dyDescent="0.25">
      <c r="S1129" s="9" t="s">
        <v>326</v>
      </c>
      <c r="T1129">
        <v>58</v>
      </c>
    </row>
    <row r="1130" spans="19:20" x14ac:dyDescent="0.25">
      <c r="S1130" s="10" t="s">
        <v>16</v>
      </c>
      <c r="T1130">
        <v>58</v>
      </c>
    </row>
    <row r="1131" spans="19:20" x14ac:dyDescent="0.25">
      <c r="S1131" s="11" t="s">
        <v>325</v>
      </c>
      <c r="T1131">
        <v>58</v>
      </c>
    </row>
    <row r="1132" spans="19:20" x14ac:dyDescent="0.25">
      <c r="S1132" s="9" t="s">
        <v>1039</v>
      </c>
      <c r="T1132">
        <v>54</v>
      </c>
    </row>
    <row r="1133" spans="19:20" x14ac:dyDescent="0.25">
      <c r="S1133" s="10" t="s">
        <v>9</v>
      </c>
      <c r="T1133">
        <v>54</v>
      </c>
    </row>
    <row r="1134" spans="19:20" x14ac:dyDescent="0.25">
      <c r="S1134" s="11" t="s">
        <v>1038</v>
      </c>
      <c r="T1134">
        <v>54</v>
      </c>
    </row>
    <row r="1135" spans="19:20" x14ac:dyDescent="0.25">
      <c r="S1135" s="9" t="s">
        <v>554</v>
      </c>
      <c r="T1135">
        <v>25</v>
      </c>
    </row>
    <row r="1136" spans="19:20" x14ac:dyDescent="0.25">
      <c r="S1136" s="10" t="s">
        <v>16</v>
      </c>
      <c r="T1136">
        <v>25</v>
      </c>
    </row>
    <row r="1137" spans="19:20" x14ac:dyDescent="0.25">
      <c r="S1137" s="11" t="s">
        <v>553</v>
      </c>
      <c r="T1137">
        <v>25</v>
      </c>
    </row>
    <row r="1138" spans="19:20" x14ac:dyDescent="0.25">
      <c r="S1138" s="9" t="s">
        <v>465</v>
      </c>
      <c r="T1138">
        <v>29</v>
      </c>
    </row>
    <row r="1139" spans="19:20" x14ac:dyDescent="0.25">
      <c r="S1139" s="10" t="s">
        <v>9</v>
      </c>
      <c r="T1139">
        <v>29</v>
      </c>
    </row>
    <row r="1140" spans="19:20" x14ac:dyDescent="0.25">
      <c r="S1140" s="11" t="s">
        <v>464</v>
      </c>
      <c r="T1140">
        <v>29</v>
      </c>
    </row>
    <row r="1141" spans="19:20" x14ac:dyDescent="0.25">
      <c r="S1141" s="9" t="s">
        <v>512</v>
      </c>
      <c r="T1141">
        <v>41</v>
      </c>
    </row>
    <row r="1142" spans="19:20" x14ac:dyDescent="0.25">
      <c r="S1142" s="10" t="s">
        <v>16</v>
      </c>
      <c r="T1142">
        <v>41</v>
      </c>
    </row>
    <row r="1143" spans="19:20" x14ac:dyDescent="0.25">
      <c r="S1143" s="11" t="s">
        <v>511</v>
      </c>
      <c r="T1143">
        <v>41</v>
      </c>
    </row>
    <row r="1144" spans="19:20" x14ac:dyDescent="0.25">
      <c r="S1144" s="9" t="s">
        <v>476</v>
      </c>
      <c r="T1144">
        <v>63</v>
      </c>
    </row>
    <row r="1145" spans="19:20" x14ac:dyDescent="0.25">
      <c r="S1145" s="10" t="s">
        <v>16</v>
      </c>
      <c r="T1145">
        <v>63</v>
      </c>
    </row>
    <row r="1146" spans="19:20" x14ac:dyDescent="0.25">
      <c r="S1146" s="11" t="s">
        <v>475</v>
      </c>
      <c r="T1146">
        <v>63</v>
      </c>
    </row>
    <row r="1147" spans="19:20" x14ac:dyDescent="0.25">
      <c r="S1147" s="9" t="s">
        <v>1423</v>
      </c>
      <c r="T1147">
        <v>60</v>
      </c>
    </row>
    <row r="1148" spans="19:20" x14ac:dyDescent="0.25">
      <c r="S1148" s="10" t="s">
        <v>16</v>
      </c>
      <c r="T1148">
        <v>60</v>
      </c>
    </row>
    <row r="1149" spans="19:20" x14ac:dyDescent="0.25">
      <c r="S1149" s="11" t="s">
        <v>1422</v>
      </c>
      <c r="T1149">
        <v>60</v>
      </c>
    </row>
    <row r="1150" spans="19:20" x14ac:dyDescent="0.25">
      <c r="S1150" s="9" t="s">
        <v>1576</v>
      </c>
      <c r="T1150">
        <v>33</v>
      </c>
    </row>
    <row r="1151" spans="19:20" x14ac:dyDescent="0.25">
      <c r="S1151" s="10" t="s">
        <v>16</v>
      </c>
      <c r="T1151">
        <v>33</v>
      </c>
    </row>
    <row r="1152" spans="19:20" x14ac:dyDescent="0.25">
      <c r="S1152" s="11" t="s">
        <v>97</v>
      </c>
      <c r="T1152">
        <v>33</v>
      </c>
    </row>
    <row r="1153" spans="19:20" x14ac:dyDescent="0.25">
      <c r="S1153" s="9" t="s">
        <v>527</v>
      </c>
      <c r="T1153">
        <v>59</v>
      </c>
    </row>
    <row r="1154" spans="19:20" x14ac:dyDescent="0.25">
      <c r="S1154" s="10" t="s">
        <v>9</v>
      </c>
      <c r="T1154">
        <v>59</v>
      </c>
    </row>
    <row r="1155" spans="19:20" x14ac:dyDescent="0.25">
      <c r="S1155" s="11" t="s">
        <v>526</v>
      </c>
      <c r="T1155">
        <v>59</v>
      </c>
    </row>
    <row r="1156" spans="19:20" x14ac:dyDescent="0.25">
      <c r="S1156" s="9" t="s">
        <v>1456</v>
      </c>
      <c r="T1156">
        <v>42</v>
      </c>
    </row>
    <row r="1157" spans="19:20" x14ac:dyDescent="0.25">
      <c r="S1157" s="10" t="s">
        <v>9</v>
      </c>
      <c r="T1157">
        <v>42</v>
      </c>
    </row>
    <row r="1158" spans="19:20" x14ac:dyDescent="0.25">
      <c r="S1158" s="11" t="s">
        <v>1455</v>
      </c>
      <c r="T1158">
        <v>42</v>
      </c>
    </row>
    <row r="1159" spans="19:20" x14ac:dyDescent="0.25">
      <c r="S1159" s="9" t="s">
        <v>1534</v>
      </c>
      <c r="T1159">
        <v>27</v>
      </c>
    </row>
    <row r="1160" spans="19:20" x14ac:dyDescent="0.25">
      <c r="S1160" s="10" t="s">
        <v>16</v>
      </c>
      <c r="T1160">
        <v>27</v>
      </c>
    </row>
    <row r="1161" spans="19:20" x14ac:dyDescent="0.25">
      <c r="S1161" s="11" t="s">
        <v>1533</v>
      </c>
      <c r="T1161">
        <v>27</v>
      </c>
    </row>
    <row r="1162" spans="19:20" x14ac:dyDescent="0.25">
      <c r="S1162" s="9" t="s">
        <v>142</v>
      </c>
      <c r="T1162">
        <v>52</v>
      </c>
    </row>
    <row r="1163" spans="19:20" x14ac:dyDescent="0.25">
      <c r="S1163" s="10" t="s">
        <v>9</v>
      </c>
      <c r="T1163">
        <v>52</v>
      </c>
    </row>
    <row r="1164" spans="19:20" x14ac:dyDescent="0.25">
      <c r="S1164" s="11" t="s">
        <v>141</v>
      </c>
      <c r="T1164">
        <v>52</v>
      </c>
    </row>
    <row r="1165" spans="19:20" x14ac:dyDescent="0.25">
      <c r="S1165" s="9" t="s">
        <v>1314</v>
      </c>
      <c r="T1165">
        <v>35</v>
      </c>
    </row>
    <row r="1166" spans="19:20" x14ac:dyDescent="0.25">
      <c r="S1166" s="10" t="s">
        <v>9</v>
      </c>
      <c r="T1166">
        <v>35</v>
      </c>
    </row>
    <row r="1167" spans="19:20" x14ac:dyDescent="0.25">
      <c r="S1167" s="11" t="s">
        <v>1313</v>
      </c>
      <c r="T1167">
        <v>35</v>
      </c>
    </row>
    <row r="1168" spans="19:20" x14ac:dyDescent="0.25">
      <c r="S1168" s="9" t="s">
        <v>1030</v>
      </c>
      <c r="T1168">
        <v>62</v>
      </c>
    </row>
    <row r="1169" spans="19:20" x14ac:dyDescent="0.25">
      <c r="S1169" s="10" t="s">
        <v>16</v>
      </c>
      <c r="T1169">
        <v>62</v>
      </c>
    </row>
    <row r="1170" spans="19:20" x14ac:dyDescent="0.25">
      <c r="S1170" s="11" t="s">
        <v>1029</v>
      </c>
      <c r="T1170">
        <v>62</v>
      </c>
    </row>
    <row r="1171" spans="19:20" x14ac:dyDescent="0.25">
      <c r="S1171" s="9" t="s">
        <v>276</v>
      </c>
      <c r="T1171">
        <v>61</v>
      </c>
    </row>
    <row r="1172" spans="19:20" x14ac:dyDescent="0.25">
      <c r="S1172" s="10" t="s">
        <v>16</v>
      </c>
      <c r="T1172">
        <v>61</v>
      </c>
    </row>
    <row r="1173" spans="19:20" x14ac:dyDescent="0.25">
      <c r="S1173" s="11" t="s">
        <v>275</v>
      </c>
      <c r="T1173">
        <v>61</v>
      </c>
    </row>
    <row r="1174" spans="19:20" x14ac:dyDescent="0.25">
      <c r="S1174" s="9" t="s">
        <v>83</v>
      </c>
      <c r="T1174">
        <v>43</v>
      </c>
    </row>
    <row r="1175" spans="19:20" x14ac:dyDescent="0.25">
      <c r="S1175" s="10" t="s">
        <v>9</v>
      </c>
      <c r="T1175">
        <v>43</v>
      </c>
    </row>
    <row r="1176" spans="19:20" x14ac:dyDescent="0.25">
      <c r="S1176" s="11" t="s">
        <v>82</v>
      </c>
      <c r="T1176">
        <v>43</v>
      </c>
    </row>
    <row r="1177" spans="19:20" x14ac:dyDescent="0.25">
      <c r="S1177" s="9" t="s">
        <v>497</v>
      </c>
      <c r="T1177">
        <v>49</v>
      </c>
    </row>
    <row r="1178" spans="19:20" x14ac:dyDescent="0.25">
      <c r="S1178" s="10" t="s">
        <v>16</v>
      </c>
      <c r="T1178">
        <v>49</v>
      </c>
    </row>
    <row r="1179" spans="19:20" x14ac:dyDescent="0.25">
      <c r="S1179" s="11" t="s">
        <v>496</v>
      </c>
      <c r="T1179">
        <v>49</v>
      </c>
    </row>
    <row r="1180" spans="19:20" x14ac:dyDescent="0.25">
      <c r="S1180" s="9" t="s">
        <v>927</v>
      </c>
      <c r="T1180">
        <v>30</v>
      </c>
    </row>
    <row r="1181" spans="19:20" x14ac:dyDescent="0.25">
      <c r="S1181" s="10" t="s">
        <v>9</v>
      </c>
      <c r="T1181">
        <v>30</v>
      </c>
    </row>
    <row r="1182" spans="19:20" x14ac:dyDescent="0.25">
      <c r="S1182" s="11" t="s">
        <v>926</v>
      </c>
      <c r="T1182">
        <v>30</v>
      </c>
    </row>
    <row r="1183" spans="19:20" x14ac:dyDescent="0.25">
      <c r="S1183" s="9" t="s">
        <v>308</v>
      </c>
      <c r="T1183">
        <v>36</v>
      </c>
    </row>
    <row r="1184" spans="19:20" x14ac:dyDescent="0.25">
      <c r="S1184" s="10" t="s">
        <v>9</v>
      </c>
      <c r="T1184">
        <v>36</v>
      </c>
    </row>
    <row r="1185" spans="19:20" x14ac:dyDescent="0.25">
      <c r="S1185" s="11" t="s">
        <v>307</v>
      </c>
      <c r="T1185">
        <v>36</v>
      </c>
    </row>
    <row r="1186" spans="19:20" x14ac:dyDescent="0.25">
      <c r="S1186" s="9" t="s">
        <v>468</v>
      </c>
      <c r="T1186">
        <v>55</v>
      </c>
    </row>
    <row r="1187" spans="19:20" x14ac:dyDescent="0.25">
      <c r="S1187" s="10" t="s">
        <v>16</v>
      </c>
      <c r="T1187">
        <v>55</v>
      </c>
    </row>
    <row r="1188" spans="19:20" x14ac:dyDescent="0.25">
      <c r="S1188" s="11" t="s">
        <v>467</v>
      </c>
      <c r="T1188">
        <v>55</v>
      </c>
    </row>
    <row r="1189" spans="19:20" x14ac:dyDescent="0.25">
      <c r="S1189" s="9" t="s">
        <v>723</v>
      </c>
      <c r="T1189">
        <v>50</v>
      </c>
    </row>
    <row r="1190" spans="19:20" x14ac:dyDescent="0.25">
      <c r="S1190" s="10" t="s">
        <v>9</v>
      </c>
      <c r="T1190">
        <v>50</v>
      </c>
    </row>
    <row r="1191" spans="19:20" x14ac:dyDescent="0.25">
      <c r="S1191" s="11" t="s">
        <v>722</v>
      </c>
      <c r="T1191">
        <v>50</v>
      </c>
    </row>
    <row r="1192" spans="19:20" x14ac:dyDescent="0.25">
      <c r="S1192" s="9" t="s">
        <v>997</v>
      </c>
      <c r="T1192">
        <v>34</v>
      </c>
    </row>
    <row r="1193" spans="19:20" x14ac:dyDescent="0.25">
      <c r="S1193" s="10" t="s">
        <v>9</v>
      </c>
      <c r="T1193">
        <v>34</v>
      </c>
    </row>
    <row r="1194" spans="19:20" x14ac:dyDescent="0.25">
      <c r="S1194" s="11" t="s">
        <v>996</v>
      </c>
      <c r="T1194">
        <v>34</v>
      </c>
    </row>
    <row r="1195" spans="19:20" x14ac:dyDescent="0.25">
      <c r="S1195" s="9" t="s">
        <v>333</v>
      </c>
      <c r="T1195">
        <v>44</v>
      </c>
    </row>
    <row r="1196" spans="19:20" x14ac:dyDescent="0.25">
      <c r="S1196" s="10" t="s">
        <v>16</v>
      </c>
      <c r="T1196">
        <v>44</v>
      </c>
    </row>
    <row r="1197" spans="19:20" x14ac:dyDescent="0.25">
      <c r="S1197" s="11" t="s">
        <v>332</v>
      </c>
      <c r="T1197">
        <v>44</v>
      </c>
    </row>
    <row r="1198" spans="19:20" x14ac:dyDescent="0.25">
      <c r="S1198" s="9" t="s">
        <v>1574</v>
      </c>
      <c r="T1198">
        <v>25</v>
      </c>
    </row>
    <row r="1199" spans="19:20" x14ac:dyDescent="0.25">
      <c r="S1199" s="10" t="s">
        <v>9</v>
      </c>
      <c r="T1199">
        <v>25</v>
      </c>
    </row>
    <row r="1200" spans="19:20" x14ac:dyDescent="0.25">
      <c r="S1200" s="11" t="s">
        <v>134</v>
      </c>
      <c r="T1200">
        <v>25</v>
      </c>
    </row>
    <row r="1201" spans="19:20" x14ac:dyDescent="0.25">
      <c r="S1201" s="9" t="s">
        <v>1027</v>
      </c>
      <c r="T1201">
        <v>58</v>
      </c>
    </row>
    <row r="1202" spans="19:20" x14ac:dyDescent="0.25">
      <c r="S1202" s="10" t="s">
        <v>16</v>
      </c>
      <c r="T1202">
        <v>58</v>
      </c>
    </row>
    <row r="1203" spans="19:20" x14ac:dyDescent="0.25">
      <c r="S1203" s="11" t="s">
        <v>1026</v>
      </c>
      <c r="T1203">
        <v>58</v>
      </c>
    </row>
    <row r="1204" spans="19:20" x14ac:dyDescent="0.25">
      <c r="S1204" s="9" t="s">
        <v>964</v>
      </c>
      <c r="T1204">
        <v>64</v>
      </c>
    </row>
    <row r="1205" spans="19:20" x14ac:dyDescent="0.25">
      <c r="S1205" s="10" t="s">
        <v>9</v>
      </c>
      <c r="T1205">
        <v>64</v>
      </c>
    </row>
    <row r="1206" spans="19:20" x14ac:dyDescent="0.25">
      <c r="S1206" s="11" t="s">
        <v>963</v>
      </c>
      <c r="T1206">
        <v>64</v>
      </c>
    </row>
    <row r="1207" spans="19:20" x14ac:dyDescent="0.25">
      <c r="S1207" s="9" t="s">
        <v>688</v>
      </c>
      <c r="T1207">
        <v>20</v>
      </c>
    </row>
    <row r="1208" spans="19:20" x14ac:dyDescent="0.25">
      <c r="S1208" s="10" t="s">
        <v>16</v>
      </c>
      <c r="T1208">
        <v>20</v>
      </c>
    </row>
    <row r="1209" spans="19:20" x14ac:dyDescent="0.25">
      <c r="S1209" s="11" t="s">
        <v>687</v>
      </c>
      <c r="T1209">
        <v>20</v>
      </c>
    </row>
    <row r="1210" spans="19:20" x14ac:dyDescent="0.25">
      <c r="S1210" s="9" t="s">
        <v>673</v>
      </c>
      <c r="T1210">
        <v>26</v>
      </c>
    </row>
    <row r="1211" spans="19:20" x14ac:dyDescent="0.25">
      <c r="S1211" s="10" t="s">
        <v>16</v>
      </c>
      <c r="T1211">
        <v>26</v>
      </c>
    </row>
    <row r="1212" spans="19:20" x14ac:dyDescent="0.25">
      <c r="S1212" s="11" t="s">
        <v>672</v>
      </c>
      <c r="T1212">
        <v>26</v>
      </c>
    </row>
    <row r="1213" spans="19:20" x14ac:dyDescent="0.25">
      <c r="S1213" s="9" t="s">
        <v>1435</v>
      </c>
      <c r="T1213">
        <v>28</v>
      </c>
    </row>
    <row r="1214" spans="19:20" x14ac:dyDescent="0.25">
      <c r="S1214" s="10" t="s">
        <v>16</v>
      </c>
      <c r="T1214">
        <v>28</v>
      </c>
    </row>
    <row r="1215" spans="19:20" x14ac:dyDescent="0.25">
      <c r="S1215" s="11" t="s">
        <v>1434</v>
      </c>
      <c r="T1215">
        <v>28</v>
      </c>
    </row>
    <row r="1216" spans="19:20" x14ac:dyDescent="0.25">
      <c r="S1216" s="9" t="s">
        <v>256</v>
      </c>
      <c r="T1216">
        <v>24</v>
      </c>
    </row>
    <row r="1217" spans="19:20" x14ac:dyDescent="0.25">
      <c r="S1217" s="10" t="s">
        <v>16</v>
      </c>
      <c r="T1217">
        <v>24</v>
      </c>
    </row>
    <row r="1218" spans="19:20" x14ac:dyDescent="0.25">
      <c r="S1218" s="11" t="s">
        <v>255</v>
      </c>
      <c r="T1218">
        <v>24</v>
      </c>
    </row>
    <row r="1219" spans="19:20" x14ac:dyDescent="0.25">
      <c r="S1219" s="9" t="s">
        <v>831</v>
      </c>
      <c r="T1219">
        <v>63</v>
      </c>
    </row>
    <row r="1220" spans="19:20" x14ac:dyDescent="0.25">
      <c r="S1220" s="10" t="s">
        <v>16</v>
      </c>
      <c r="T1220">
        <v>63</v>
      </c>
    </row>
    <row r="1221" spans="19:20" x14ac:dyDescent="0.25">
      <c r="S1221" s="11" t="s">
        <v>830</v>
      </c>
      <c r="T1221">
        <v>63</v>
      </c>
    </row>
    <row r="1222" spans="19:20" x14ac:dyDescent="0.25">
      <c r="S1222" s="9" t="s">
        <v>400</v>
      </c>
      <c r="T1222">
        <v>30</v>
      </c>
    </row>
    <row r="1223" spans="19:20" x14ac:dyDescent="0.25">
      <c r="S1223" s="10" t="s">
        <v>9</v>
      </c>
      <c r="T1223">
        <v>30</v>
      </c>
    </row>
    <row r="1224" spans="19:20" x14ac:dyDescent="0.25">
      <c r="S1224" s="11" t="s">
        <v>399</v>
      </c>
      <c r="T1224">
        <v>30</v>
      </c>
    </row>
    <row r="1225" spans="19:20" x14ac:dyDescent="0.25">
      <c r="S1225" s="9" t="s">
        <v>952</v>
      </c>
      <c r="T1225">
        <v>50</v>
      </c>
    </row>
    <row r="1226" spans="19:20" x14ac:dyDescent="0.25">
      <c r="S1226" s="10" t="s">
        <v>9</v>
      </c>
      <c r="T1226">
        <v>50</v>
      </c>
    </row>
    <row r="1227" spans="19:20" x14ac:dyDescent="0.25">
      <c r="S1227" s="11" t="s">
        <v>951</v>
      </c>
      <c r="T1227">
        <v>50</v>
      </c>
    </row>
    <row r="1228" spans="19:20" x14ac:dyDescent="0.25">
      <c r="S1228" s="9" t="s">
        <v>1078</v>
      </c>
      <c r="T1228">
        <v>38</v>
      </c>
    </row>
    <row r="1229" spans="19:20" x14ac:dyDescent="0.25">
      <c r="S1229" s="10" t="s">
        <v>9</v>
      </c>
      <c r="T1229">
        <v>38</v>
      </c>
    </row>
    <row r="1230" spans="19:20" x14ac:dyDescent="0.25">
      <c r="S1230" s="11" t="s">
        <v>1077</v>
      </c>
      <c r="T1230">
        <v>38</v>
      </c>
    </row>
    <row r="1231" spans="19:20" x14ac:dyDescent="0.25">
      <c r="S1231" s="9" t="s">
        <v>1110</v>
      </c>
      <c r="T1231">
        <v>38</v>
      </c>
    </row>
    <row r="1232" spans="19:20" x14ac:dyDescent="0.25">
      <c r="S1232" s="10" t="s">
        <v>9</v>
      </c>
      <c r="T1232">
        <v>38</v>
      </c>
    </row>
    <row r="1233" spans="19:20" x14ac:dyDescent="0.25">
      <c r="S1233" s="11" t="s">
        <v>1109</v>
      </c>
      <c r="T1233">
        <v>38</v>
      </c>
    </row>
    <row r="1234" spans="19:20" x14ac:dyDescent="0.25">
      <c r="S1234" s="9" t="s">
        <v>1429</v>
      </c>
      <c r="T1234">
        <v>36</v>
      </c>
    </row>
    <row r="1235" spans="19:20" x14ac:dyDescent="0.25">
      <c r="S1235" s="10" t="s">
        <v>16</v>
      </c>
      <c r="T1235">
        <v>36</v>
      </c>
    </row>
    <row r="1236" spans="19:20" x14ac:dyDescent="0.25">
      <c r="S1236" s="11" t="s">
        <v>1428</v>
      </c>
      <c r="T1236">
        <v>36</v>
      </c>
    </row>
    <row r="1237" spans="19:20" x14ac:dyDescent="0.25">
      <c r="S1237" s="9" t="s">
        <v>870</v>
      </c>
      <c r="T1237">
        <v>23</v>
      </c>
    </row>
    <row r="1238" spans="19:20" x14ac:dyDescent="0.25">
      <c r="S1238" s="10" t="s">
        <v>9</v>
      </c>
      <c r="T1238">
        <v>23</v>
      </c>
    </row>
    <row r="1239" spans="19:20" x14ac:dyDescent="0.25">
      <c r="S1239" s="11" t="s">
        <v>869</v>
      </c>
      <c r="T1239">
        <v>23</v>
      </c>
    </row>
    <row r="1240" spans="19:20" x14ac:dyDescent="0.25">
      <c r="S1240" s="9" t="s">
        <v>345</v>
      </c>
      <c r="T1240">
        <v>30</v>
      </c>
    </row>
    <row r="1241" spans="19:20" x14ac:dyDescent="0.25">
      <c r="S1241" s="10" t="s">
        <v>16</v>
      </c>
      <c r="T1241">
        <v>30</v>
      </c>
    </row>
    <row r="1242" spans="19:20" x14ac:dyDescent="0.25">
      <c r="S1242" s="11" t="s">
        <v>344</v>
      </c>
      <c r="T1242">
        <v>30</v>
      </c>
    </row>
    <row r="1243" spans="19:20" x14ac:dyDescent="0.25">
      <c r="S1243" s="9" t="s">
        <v>1015</v>
      </c>
      <c r="T1243">
        <v>54</v>
      </c>
    </row>
    <row r="1244" spans="19:20" x14ac:dyDescent="0.25">
      <c r="S1244" s="10" t="s">
        <v>9</v>
      </c>
      <c r="T1244">
        <v>54</v>
      </c>
    </row>
    <row r="1245" spans="19:20" x14ac:dyDescent="0.25">
      <c r="S1245" s="11" t="s">
        <v>1014</v>
      </c>
      <c r="T1245">
        <v>54</v>
      </c>
    </row>
    <row r="1246" spans="19:20" x14ac:dyDescent="0.25">
      <c r="S1246" s="9" t="s">
        <v>1329</v>
      </c>
      <c r="T1246">
        <v>27</v>
      </c>
    </row>
    <row r="1247" spans="19:20" x14ac:dyDescent="0.25">
      <c r="S1247" s="10" t="s">
        <v>16</v>
      </c>
      <c r="T1247">
        <v>27</v>
      </c>
    </row>
    <row r="1248" spans="19:20" x14ac:dyDescent="0.25">
      <c r="S1248" s="11" t="s">
        <v>1328</v>
      </c>
      <c r="T1248">
        <v>27</v>
      </c>
    </row>
    <row r="1249" spans="19:20" x14ac:dyDescent="0.25">
      <c r="S1249" s="9" t="s">
        <v>1493</v>
      </c>
      <c r="T1249">
        <v>46</v>
      </c>
    </row>
    <row r="1250" spans="19:20" x14ac:dyDescent="0.25">
      <c r="S1250" s="10" t="s">
        <v>16</v>
      </c>
      <c r="T1250">
        <v>46</v>
      </c>
    </row>
    <row r="1251" spans="19:20" x14ac:dyDescent="0.25">
      <c r="S1251" s="11" t="s">
        <v>1492</v>
      </c>
      <c r="T1251">
        <v>46</v>
      </c>
    </row>
    <row r="1252" spans="19:20" x14ac:dyDescent="0.25">
      <c r="S1252" s="9" t="s">
        <v>664</v>
      </c>
      <c r="T1252">
        <v>47</v>
      </c>
    </row>
    <row r="1253" spans="19:20" x14ac:dyDescent="0.25">
      <c r="S1253" s="10" t="s">
        <v>9</v>
      </c>
      <c r="T1253">
        <v>47</v>
      </c>
    </row>
    <row r="1254" spans="19:20" x14ac:dyDescent="0.25">
      <c r="S1254" s="11" t="s">
        <v>663</v>
      </c>
      <c r="T1254">
        <v>47</v>
      </c>
    </row>
    <row r="1255" spans="19:20" x14ac:dyDescent="0.25">
      <c r="S1255" s="9" t="s">
        <v>873</v>
      </c>
      <c r="T1255">
        <v>38</v>
      </c>
    </row>
    <row r="1256" spans="19:20" x14ac:dyDescent="0.25">
      <c r="S1256" s="10" t="s">
        <v>9</v>
      </c>
      <c r="T1256">
        <v>38</v>
      </c>
    </row>
    <row r="1257" spans="19:20" x14ac:dyDescent="0.25">
      <c r="S1257" s="11" t="s">
        <v>872</v>
      </c>
      <c r="T1257">
        <v>38</v>
      </c>
    </row>
    <row r="1258" spans="19:20" x14ac:dyDescent="0.25">
      <c r="S1258" s="9" t="s">
        <v>1528</v>
      </c>
      <c r="T1258">
        <v>47</v>
      </c>
    </row>
    <row r="1259" spans="19:20" x14ac:dyDescent="0.25">
      <c r="S1259" s="10" t="s">
        <v>16</v>
      </c>
      <c r="T1259">
        <v>47</v>
      </c>
    </row>
    <row r="1260" spans="19:20" x14ac:dyDescent="0.25">
      <c r="S1260" s="11" t="s">
        <v>1527</v>
      </c>
      <c r="T1260">
        <v>47</v>
      </c>
    </row>
    <row r="1261" spans="19:20" x14ac:dyDescent="0.25">
      <c r="S1261" s="9" t="s">
        <v>196</v>
      </c>
      <c r="T1261">
        <v>23</v>
      </c>
    </row>
    <row r="1262" spans="19:20" x14ac:dyDescent="0.25">
      <c r="S1262" s="10" t="s">
        <v>16</v>
      </c>
      <c r="T1262">
        <v>23</v>
      </c>
    </row>
    <row r="1263" spans="19:20" x14ac:dyDescent="0.25">
      <c r="S1263" s="11" t="s">
        <v>195</v>
      </c>
      <c r="T1263">
        <v>23</v>
      </c>
    </row>
    <row r="1264" spans="19:20" x14ac:dyDescent="0.25">
      <c r="S1264" s="9" t="s">
        <v>364</v>
      </c>
      <c r="T1264">
        <v>34</v>
      </c>
    </row>
    <row r="1265" spans="19:20" x14ac:dyDescent="0.25">
      <c r="S1265" s="10" t="s">
        <v>16</v>
      </c>
      <c r="T1265">
        <v>34</v>
      </c>
    </row>
    <row r="1266" spans="19:20" x14ac:dyDescent="0.25">
      <c r="S1266" s="11" t="s">
        <v>363</v>
      </c>
      <c r="T1266">
        <v>34</v>
      </c>
    </row>
    <row r="1267" spans="19:20" x14ac:dyDescent="0.25">
      <c r="S1267" s="9" t="s">
        <v>1273</v>
      </c>
      <c r="T1267">
        <v>103</v>
      </c>
    </row>
    <row r="1268" spans="19:20" x14ac:dyDescent="0.25">
      <c r="S1268" s="10" t="s">
        <v>9</v>
      </c>
      <c r="T1268">
        <v>103</v>
      </c>
    </row>
    <row r="1269" spans="19:20" x14ac:dyDescent="0.25">
      <c r="S1269" s="11" t="s">
        <v>1272</v>
      </c>
      <c r="T1269">
        <v>55</v>
      </c>
    </row>
    <row r="1270" spans="19:20" x14ac:dyDescent="0.25">
      <c r="S1270" s="11" t="s">
        <v>1487</v>
      </c>
      <c r="T1270">
        <v>48</v>
      </c>
    </row>
    <row r="1271" spans="19:20" x14ac:dyDescent="0.25">
      <c r="S1271" s="9" t="s">
        <v>825</v>
      </c>
      <c r="T1271">
        <v>24</v>
      </c>
    </row>
    <row r="1272" spans="19:20" x14ac:dyDescent="0.25">
      <c r="S1272" s="10" t="s">
        <v>16</v>
      </c>
      <c r="T1272">
        <v>24</v>
      </c>
    </row>
    <row r="1273" spans="19:20" x14ac:dyDescent="0.25">
      <c r="S1273" s="11" t="s">
        <v>824</v>
      </c>
      <c r="T1273">
        <v>24</v>
      </c>
    </row>
    <row r="1274" spans="19:20" x14ac:dyDescent="0.25">
      <c r="S1274" s="9" t="s">
        <v>128</v>
      </c>
      <c r="T1274">
        <v>41</v>
      </c>
    </row>
    <row r="1275" spans="19:20" x14ac:dyDescent="0.25">
      <c r="S1275" s="10" t="s">
        <v>9</v>
      </c>
      <c r="T1275">
        <v>41</v>
      </c>
    </row>
    <row r="1276" spans="19:20" x14ac:dyDescent="0.25">
      <c r="S1276" s="11" t="s">
        <v>127</v>
      </c>
      <c r="T1276">
        <v>41</v>
      </c>
    </row>
    <row r="1277" spans="19:20" x14ac:dyDescent="0.25">
      <c r="S1277" s="9" t="s">
        <v>1508</v>
      </c>
      <c r="T1277">
        <v>23</v>
      </c>
    </row>
    <row r="1278" spans="19:20" x14ac:dyDescent="0.25">
      <c r="S1278" s="10" t="s">
        <v>9</v>
      </c>
      <c r="T1278">
        <v>23</v>
      </c>
    </row>
    <row r="1279" spans="19:20" x14ac:dyDescent="0.25">
      <c r="S1279" s="11" t="s">
        <v>1507</v>
      </c>
      <c r="T1279">
        <v>23</v>
      </c>
    </row>
    <row r="1280" spans="19:20" x14ac:dyDescent="0.25">
      <c r="S1280" s="9" t="s">
        <v>530</v>
      </c>
      <c r="T1280">
        <v>43</v>
      </c>
    </row>
    <row r="1281" spans="19:20" x14ac:dyDescent="0.25">
      <c r="S1281" s="10" t="s">
        <v>9</v>
      </c>
      <c r="T1281">
        <v>43</v>
      </c>
    </row>
    <row r="1282" spans="19:20" x14ac:dyDescent="0.25">
      <c r="S1282" s="11" t="s">
        <v>529</v>
      </c>
      <c r="T1282">
        <v>43</v>
      </c>
    </row>
    <row r="1283" spans="19:20" x14ac:dyDescent="0.25">
      <c r="S1283" s="9" t="s">
        <v>471</v>
      </c>
      <c r="T1283">
        <v>43</v>
      </c>
    </row>
    <row r="1284" spans="19:20" x14ac:dyDescent="0.25">
      <c r="S1284" s="10" t="s">
        <v>9</v>
      </c>
      <c r="T1284">
        <v>43</v>
      </c>
    </row>
    <row r="1285" spans="19:20" x14ac:dyDescent="0.25">
      <c r="S1285" s="11" t="s">
        <v>470</v>
      </c>
      <c r="T1285">
        <v>43</v>
      </c>
    </row>
    <row r="1286" spans="19:20" x14ac:dyDescent="0.25">
      <c r="S1286" s="9" t="s">
        <v>1332</v>
      </c>
      <c r="T1286">
        <v>43</v>
      </c>
    </row>
    <row r="1287" spans="19:20" x14ac:dyDescent="0.25">
      <c r="S1287" s="10" t="s">
        <v>9</v>
      </c>
      <c r="T1287">
        <v>43</v>
      </c>
    </row>
    <row r="1288" spans="19:20" x14ac:dyDescent="0.25">
      <c r="S1288" s="11" t="s">
        <v>1331</v>
      </c>
      <c r="T1288">
        <v>43</v>
      </c>
    </row>
    <row r="1289" spans="19:20" x14ac:dyDescent="0.25">
      <c r="S1289" s="9" t="s">
        <v>1282</v>
      </c>
      <c r="T1289">
        <v>23</v>
      </c>
    </row>
    <row r="1290" spans="19:20" x14ac:dyDescent="0.25">
      <c r="S1290" s="10" t="s">
        <v>16</v>
      </c>
      <c r="T1290">
        <v>23</v>
      </c>
    </row>
    <row r="1291" spans="19:20" x14ac:dyDescent="0.25">
      <c r="S1291" s="11" t="s">
        <v>1281</v>
      </c>
      <c r="T1291">
        <v>23</v>
      </c>
    </row>
    <row r="1292" spans="19:20" x14ac:dyDescent="0.25">
      <c r="S1292" s="9" t="s">
        <v>1393</v>
      </c>
      <c r="T1292">
        <v>59</v>
      </c>
    </row>
    <row r="1293" spans="19:20" x14ac:dyDescent="0.25">
      <c r="S1293" s="10" t="s">
        <v>9</v>
      </c>
      <c r="T1293">
        <v>59</v>
      </c>
    </row>
    <row r="1294" spans="19:20" x14ac:dyDescent="0.25">
      <c r="S1294" s="11" t="s">
        <v>1392</v>
      </c>
      <c r="T1294">
        <v>59</v>
      </c>
    </row>
    <row r="1295" spans="19:20" x14ac:dyDescent="0.25">
      <c r="S1295" s="9" t="s">
        <v>876</v>
      </c>
      <c r="T1295">
        <v>22</v>
      </c>
    </row>
    <row r="1296" spans="19:20" x14ac:dyDescent="0.25">
      <c r="S1296" s="10" t="s">
        <v>9</v>
      </c>
      <c r="T1296">
        <v>22</v>
      </c>
    </row>
    <row r="1297" spans="19:20" x14ac:dyDescent="0.25">
      <c r="S1297" s="11" t="s">
        <v>875</v>
      </c>
      <c r="T1297">
        <v>22</v>
      </c>
    </row>
    <row r="1298" spans="19:20" x14ac:dyDescent="0.25">
      <c r="S1298" s="9" t="s">
        <v>1381</v>
      </c>
      <c r="T1298">
        <v>35</v>
      </c>
    </row>
    <row r="1299" spans="19:20" x14ac:dyDescent="0.25">
      <c r="S1299" s="10" t="s">
        <v>9</v>
      </c>
      <c r="T1299">
        <v>35</v>
      </c>
    </row>
    <row r="1300" spans="19:20" x14ac:dyDescent="0.25">
      <c r="S1300" s="11" t="s">
        <v>1380</v>
      </c>
      <c r="T1300">
        <v>35</v>
      </c>
    </row>
    <row r="1301" spans="19:20" x14ac:dyDescent="0.25">
      <c r="S1301" s="9" t="s">
        <v>203</v>
      </c>
      <c r="T1301">
        <v>37</v>
      </c>
    </row>
    <row r="1302" spans="19:20" x14ac:dyDescent="0.25">
      <c r="S1302" s="10" t="s">
        <v>16</v>
      </c>
      <c r="T1302">
        <v>37</v>
      </c>
    </row>
    <row r="1303" spans="19:20" x14ac:dyDescent="0.25">
      <c r="S1303" s="11" t="s">
        <v>202</v>
      </c>
      <c r="T1303">
        <v>37</v>
      </c>
    </row>
    <row r="1304" spans="19:20" x14ac:dyDescent="0.25">
      <c r="S1304" s="9" t="s">
        <v>1353</v>
      </c>
      <c r="T1304">
        <v>61</v>
      </c>
    </row>
    <row r="1305" spans="19:20" x14ac:dyDescent="0.25">
      <c r="S1305" s="10" t="s">
        <v>9</v>
      </c>
      <c r="T1305">
        <v>61</v>
      </c>
    </row>
    <row r="1306" spans="19:20" x14ac:dyDescent="0.25">
      <c r="S1306" s="11" t="s">
        <v>1352</v>
      </c>
      <c r="T1306">
        <v>61</v>
      </c>
    </row>
    <row r="1307" spans="19:20" x14ac:dyDescent="0.25">
      <c r="S1307" s="9" t="s">
        <v>1578</v>
      </c>
      <c r="T1307">
        <v>55</v>
      </c>
    </row>
    <row r="1308" spans="19:20" x14ac:dyDescent="0.25">
      <c r="S1308" s="10" t="s">
        <v>9</v>
      </c>
      <c r="T1308">
        <v>55</v>
      </c>
    </row>
    <row r="1309" spans="19:20" x14ac:dyDescent="0.25">
      <c r="S1309" s="11" t="s">
        <v>8</v>
      </c>
      <c r="T1309">
        <v>55</v>
      </c>
    </row>
    <row r="1310" spans="19:20" x14ac:dyDescent="0.25">
      <c r="S1310" s="9" t="s">
        <v>354</v>
      </c>
      <c r="T1310">
        <v>35</v>
      </c>
    </row>
    <row r="1311" spans="19:20" x14ac:dyDescent="0.25">
      <c r="S1311" s="10" t="s">
        <v>9</v>
      </c>
      <c r="T1311">
        <v>35</v>
      </c>
    </row>
    <row r="1312" spans="19:20" x14ac:dyDescent="0.25">
      <c r="S1312" s="11" t="s">
        <v>353</v>
      </c>
      <c r="T1312">
        <v>35</v>
      </c>
    </row>
    <row r="1313" spans="19:20" x14ac:dyDescent="0.25">
      <c r="S1313" s="9" t="s">
        <v>1188</v>
      </c>
      <c r="T1313">
        <v>23</v>
      </c>
    </row>
    <row r="1314" spans="19:20" x14ac:dyDescent="0.25">
      <c r="S1314" s="10" t="s">
        <v>9</v>
      </c>
      <c r="T1314">
        <v>23</v>
      </c>
    </row>
    <row r="1315" spans="19:20" x14ac:dyDescent="0.25">
      <c r="S1315" s="11" t="s">
        <v>1187</v>
      </c>
      <c r="T1315">
        <v>23</v>
      </c>
    </row>
    <row r="1316" spans="19:20" x14ac:dyDescent="0.25">
      <c r="S1316" s="9" t="s">
        <v>1485</v>
      </c>
      <c r="T1316">
        <v>26</v>
      </c>
    </row>
    <row r="1317" spans="19:20" x14ac:dyDescent="0.25">
      <c r="S1317" s="10" t="s">
        <v>9</v>
      </c>
      <c r="T1317">
        <v>26</v>
      </c>
    </row>
    <row r="1318" spans="19:20" x14ac:dyDescent="0.25">
      <c r="S1318" s="11" t="s">
        <v>1484</v>
      </c>
      <c r="T1318">
        <v>26</v>
      </c>
    </row>
    <row r="1319" spans="19:20" x14ac:dyDescent="0.25">
      <c r="S1319" s="9" t="s">
        <v>1093</v>
      </c>
      <c r="T1319">
        <v>55</v>
      </c>
    </row>
    <row r="1320" spans="19:20" x14ac:dyDescent="0.25">
      <c r="S1320" s="10" t="s">
        <v>9</v>
      </c>
      <c r="T1320">
        <v>55</v>
      </c>
    </row>
    <row r="1321" spans="19:20" x14ac:dyDescent="0.25">
      <c r="S1321" s="11" t="s">
        <v>1092</v>
      </c>
      <c r="T1321">
        <v>55</v>
      </c>
    </row>
    <row r="1322" spans="19:20" x14ac:dyDescent="0.25">
      <c r="S1322" s="9" t="s">
        <v>976</v>
      </c>
      <c r="T1322">
        <v>41</v>
      </c>
    </row>
    <row r="1323" spans="19:20" x14ac:dyDescent="0.25">
      <c r="S1323" s="10" t="s">
        <v>16</v>
      </c>
      <c r="T1323">
        <v>41</v>
      </c>
    </row>
    <row r="1324" spans="19:20" x14ac:dyDescent="0.25">
      <c r="S1324" s="11" t="s">
        <v>975</v>
      </c>
      <c r="T1324">
        <v>41</v>
      </c>
    </row>
    <row r="1325" spans="19:20" x14ac:dyDescent="0.25">
      <c r="S1325" s="9" t="s">
        <v>506</v>
      </c>
      <c r="T1325">
        <v>24</v>
      </c>
    </row>
    <row r="1326" spans="19:20" x14ac:dyDescent="0.25">
      <c r="S1326" s="10" t="s">
        <v>9</v>
      </c>
      <c r="T1326">
        <v>24</v>
      </c>
    </row>
    <row r="1327" spans="19:20" x14ac:dyDescent="0.25">
      <c r="S1327" s="11" t="s">
        <v>505</v>
      </c>
      <c r="T1327">
        <v>24</v>
      </c>
    </row>
    <row r="1328" spans="19:20" x14ac:dyDescent="0.25">
      <c r="S1328" s="9" t="s">
        <v>946</v>
      </c>
      <c r="T1328">
        <v>48</v>
      </c>
    </row>
    <row r="1329" spans="19:20" x14ac:dyDescent="0.25">
      <c r="S1329" s="10" t="s">
        <v>16</v>
      </c>
      <c r="T1329">
        <v>48</v>
      </c>
    </row>
    <row r="1330" spans="19:20" x14ac:dyDescent="0.25">
      <c r="S1330" s="11" t="s">
        <v>945</v>
      </c>
      <c r="T1330">
        <v>48</v>
      </c>
    </row>
    <row r="1331" spans="19:20" x14ac:dyDescent="0.25">
      <c r="S1331" s="9" t="s">
        <v>885</v>
      </c>
      <c r="T1331">
        <v>42</v>
      </c>
    </row>
    <row r="1332" spans="19:20" x14ac:dyDescent="0.25">
      <c r="S1332" s="10" t="s">
        <v>16</v>
      </c>
      <c r="T1332">
        <v>42</v>
      </c>
    </row>
    <row r="1333" spans="19:20" x14ac:dyDescent="0.25">
      <c r="S1333" s="11" t="s">
        <v>884</v>
      </c>
      <c r="T1333">
        <v>42</v>
      </c>
    </row>
    <row r="1334" spans="19:20" x14ac:dyDescent="0.25">
      <c r="S1334" s="9" t="s">
        <v>1116</v>
      </c>
      <c r="T1334">
        <v>54</v>
      </c>
    </row>
    <row r="1335" spans="19:20" x14ac:dyDescent="0.25">
      <c r="S1335" s="10" t="s">
        <v>9</v>
      </c>
      <c r="T1335">
        <v>54</v>
      </c>
    </row>
    <row r="1336" spans="19:20" x14ac:dyDescent="0.25">
      <c r="S1336" s="11" t="s">
        <v>1115</v>
      </c>
      <c r="T1336">
        <v>54</v>
      </c>
    </row>
    <row r="1337" spans="19:20" x14ac:dyDescent="0.25">
      <c r="S1337" s="9" t="s">
        <v>563</v>
      </c>
      <c r="T1337">
        <v>64</v>
      </c>
    </row>
    <row r="1338" spans="19:20" x14ac:dyDescent="0.25">
      <c r="S1338" s="10" t="s">
        <v>9</v>
      </c>
      <c r="T1338">
        <v>64</v>
      </c>
    </row>
    <row r="1339" spans="19:20" x14ac:dyDescent="0.25">
      <c r="S1339" s="11" t="s">
        <v>562</v>
      </c>
      <c r="T1339">
        <v>64</v>
      </c>
    </row>
    <row r="1340" spans="19:20" x14ac:dyDescent="0.25">
      <c r="S1340" s="9" t="s">
        <v>700</v>
      </c>
      <c r="T1340">
        <v>50</v>
      </c>
    </row>
    <row r="1341" spans="19:20" x14ac:dyDescent="0.25">
      <c r="S1341" s="10" t="s">
        <v>16</v>
      </c>
      <c r="T1341">
        <v>50</v>
      </c>
    </row>
    <row r="1342" spans="19:20" x14ac:dyDescent="0.25">
      <c r="S1342" s="11" t="s">
        <v>699</v>
      </c>
      <c r="T1342">
        <v>50</v>
      </c>
    </row>
    <row r="1343" spans="19:20" x14ac:dyDescent="0.25">
      <c r="S1343" s="9" t="s">
        <v>765</v>
      </c>
      <c r="T1343">
        <v>40</v>
      </c>
    </row>
    <row r="1344" spans="19:20" x14ac:dyDescent="0.25">
      <c r="S1344" s="10" t="s">
        <v>9</v>
      </c>
      <c r="T1344">
        <v>40</v>
      </c>
    </row>
    <row r="1345" spans="19:20" x14ac:dyDescent="0.25">
      <c r="S1345" s="11" t="s">
        <v>764</v>
      </c>
      <c r="T1345">
        <v>40</v>
      </c>
    </row>
    <row r="1346" spans="19:20" x14ac:dyDescent="0.25">
      <c r="S1346" s="9" t="s">
        <v>367</v>
      </c>
      <c r="T1346">
        <v>21</v>
      </c>
    </row>
    <row r="1347" spans="19:20" x14ac:dyDescent="0.25">
      <c r="S1347" s="10" t="s">
        <v>9</v>
      </c>
      <c r="T1347">
        <v>21</v>
      </c>
    </row>
    <row r="1348" spans="19:20" x14ac:dyDescent="0.25">
      <c r="S1348" s="11" t="s">
        <v>366</v>
      </c>
      <c r="T1348">
        <v>21</v>
      </c>
    </row>
    <row r="1349" spans="19:20" x14ac:dyDescent="0.25">
      <c r="S1349" s="9" t="s">
        <v>694</v>
      </c>
      <c r="T1349">
        <v>42</v>
      </c>
    </row>
    <row r="1350" spans="19:20" x14ac:dyDescent="0.25">
      <c r="S1350" s="10" t="s">
        <v>16</v>
      </c>
      <c r="T1350">
        <v>42</v>
      </c>
    </row>
    <row r="1351" spans="19:20" x14ac:dyDescent="0.25">
      <c r="S1351" s="11" t="s">
        <v>693</v>
      </c>
      <c r="T1351">
        <v>42</v>
      </c>
    </row>
    <row r="1352" spans="19:20" x14ac:dyDescent="0.25">
      <c r="S1352" s="9" t="s">
        <v>1341</v>
      </c>
      <c r="T1352">
        <v>37</v>
      </c>
    </row>
    <row r="1353" spans="19:20" x14ac:dyDescent="0.25">
      <c r="S1353" s="10" t="s">
        <v>9</v>
      </c>
      <c r="T1353">
        <v>37</v>
      </c>
    </row>
    <row r="1354" spans="19:20" x14ac:dyDescent="0.25">
      <c r="S1354" s="11" t="s">
        <v>1340</v>
      </c>
      <c r="T1354">
        <v>37</v>
      </c>
    </row>
    <row r="1355" spans="19:20" x14ac:dyDescent="0.25">
      <c r="S1355" s="9" t="s">
        <v>442</v>
      </c>
      <c r="T1355">
        <v>45</v>
      </c>
    </row>
    <row r="1356" spans="19:20" x14ac:dyDescent="0.25">
      <c r="S1356" s="10" t="s">
        <v>9</v>
      </c>
      <c r="T1356">
        <v>45</v>
      </c>
    </row>
    <row r="1357" spans="19:20" x14ac:dyDescent="0.25">
      <c r="S1357" s="11" t="s">
        <v>441</v>
      </c>
      <c r="T1357">
        <v>45</v>
      </c>
    </row>
    <row r="1358" spans="19:20" x14ac:dyDescent="0.25">
      <c r="S1358" s="9" t="s">
        <v>1203</v>
      </c>
      <c r="T1358">
        <v>60</v>
      </c>
    </row>
    <row r="1359" spans="19:20" x14ac:dyDescent="0.25">
      <c r="S1359" s="10" t="s">
        <v>9</v>
      </c>
      <c r="T1359">
        <v>60</v>
      </c>
    </row>
    <row r="1360" spans="19:20" x14ac:dyDescent="0.25">
      <c r="S1360" s="11" t="s">
        <v>1202</v>
      </c>
      <c r="T1360">
        <v>60</v>
      </c>
    </row>
    <row r="1361" spans="19:20" x14ac:dyDescent="0.25">
      <c r="S1361" s="9" t="s">
        <v>1558</v>
      </c>
      <c r="T1361">
        <v>19</v>
      </c>
    </row>
    <row r="1362" spans="19:20" x14ac:dyDescent="0.25">
      <c r="S1362" s="10" t="s">
        <v>16</v>
      </c>
      <c r="T1362">
        <v>19</v>
      </c>
    </row>
    <row r="1363" spans="19:20" x14ac:dyDescent="0.25">
      <c r="S1363" s="11" t="s">
        <v>310</v>
      </c>
      <c r="T1363">
        <v>19</v>
      </c>
    </row>
    <row r="1364" spans="19:20" x14ac:dyDescent="0.25">
      <c r="S1364" s="9" t="s">
        <v>1363</v>
      </c>
      <c r="T1364">
        <v>60</v>
      </c>
    </row>
    <row r="1365" spans="19:20" x14ac:dyDescent="0.25">
      <c r="S1365" s="10" t="s">
        <v>9</v>
      </c>
      <c r="T1365">
        <v>60</v>
      </c>
    </row>
    <row r="1366" spans="19:20" x14ac:dyDescent="0.25">
      <c r="S1366" s="11" t="s">
        <v>1362</v>
      </c>
      <c r="T1366">
        <v>60</v>
      </c>
    </row>
    <row r="1367" spans="19:20" x14ac:dyDescent="0.25">
      <c r="S1367" s="9" t="s">
        <v>738</v>
      </c>
      <c r="T1367">
        <v>32</v>
      </c>
    </row>
    <row r="1368" spans="19:20" x14ac:dyDescent="0.25">
      <c r="S1368" s="10" t="s">
        <v>16</v>
      </c>
      <c r="T1368">
        <v>32</v>
      </c>
    </row>
    <row r="1369" spans="19:20" x14ac:dyDescent="0.25">
      <c r="S1369" s="11" t="s">
        <v>737</v>
      </c>
      <c r="T1369">
        <v>32</v>
      </c>
    </row>
    <row r="1370" spans="19:20" x14ac:dyDescent="0.25">
      <c r="S1370" s="9" t="s">
        <v>1185</v>
      </c>
      <c r="T1370">
        <v>34</v>
      </c>
    </row>
    <row r="1371" spans="19:20" x14ac:dyDescent="0.25">
      <c r="S1371" s="10" t="s">
        <v>16</v>
      </c>
      <c r="T1371">
        <v>34</v>
      </c>
    </row>
    <row r="1372" spans="19:20" x14ac:dyDescent="0.25">
      <c r="S1372" s="11" t="s">
        <v>1184</v>
      </c>
      <c r="T1372">
        <v>34</v>
      </c>
    </row>
    <row r="1373" spans="19:20" x14ac:dyDescent="0.25">
      <c r="S1373" s="9" t="s">
        <v>1048</v>
      </c>
      <c r="T1373">
        <v>64</v>
      </c>
    </row>
    <row r="1374" spans="19:20" x14ac:dyDescent="0.25">
      <c r="S1374" s="10" t="s">
        <v>16</v>
      </c>
      <c r="T1374">
        <v>64</v>
      </c>
    </row>
    <row r="1375" spans="19:20" x14ac:dyDescent="0.25">
      <c r="S1375" s="11" t="s">
        <v>1047</v>
      </c>
      <c r="T1375">
        <v>64</v>
      </c>
    </row>
    <row r="1376" spans="19:20" x14ac:dyDescent="0.25">
      <c r="S1376" s="9" t="s">
        <v>575</v>
      </c>
      <c r="T1376">
        <v>41</v>
      </c>
    </row>
    <row r="1377" spans="19:20" x14ac:dyDescent="0.25">
      <c r="S1377" s="10" t="s">
        <v>16</v>
      </c>
      <c r="T1377">
        <v>41</v>
      </c>
    </row>
    <row r="1378" spans="19:20" x14ac:dyDescent="0.25">
      <c r="S1378" s="11" t="s">
        <v>574</v>
      </c>
      <c r="T1378">
        <v>41</v>
      </c>
    </row>
    <row r="1379" spans="19:20" x14ac:dyDescent="0.25">
      <c r="S1379" s="9" t="s">
        <v>1250</v>
      </c>
      <c r="T1379">
        <v>51</v>
      </c>
    </row>
    <row r="1380" spans="19:20" x14ac:dyDescent="0.25">
      <c r="S1380" s="10" t="s">
        <v>16</v>
      </c>
      <c r="T1380">
        <v>51</v>
      </c>
    </row>
    <row r="1381" spans="19:20" x14ac:dyDescent="0.25">
      <c r="S1381" s="11" t="s">
        <v>1249</v>
      </c>
      <c r="T1381">
        <v>51</v>
      </c>
    </row>
    <row r="1382" spans="19:20" x14ac:dyDescent="0.25">
      <c r="S1382" s="9" t="s">
        <v>500</v>
      </c>
      <c r="T1382">
        <v>42</v>
      </c>
    </row>
    <row r="1383" spans="19:20" x14ac:dyDescent="0.25">
      <c r="S1383" s="10" t="s">
        <v>16</v>
      </c>
      <c r="T1383">
        <v>42</v>
      </c>
    </row>
    <row r="1384" spans="19:20" x14ac:dyDescent="0.25">
      <c r="S1384" s="11" t="s">
        <v>499</v>
      </c>
      <c r="T1384">
        <v>42</v>
      </c>
    </row>
    <row r="1385" spans="19:20" x14ac:dyDescent="0.25">
      <c r="S1385" s="9" t="s">
        <v>1344</v>
      </c>
      <c r="T1385">
        <v>51</v>
      </c>
    </row>
    <row r="1386" spans="19:20" x14ac:dyDescent="0.25">
      <c r="S1386" s="10" t="s">
        <v>16</v>
      </c>
      <c r="T1386">
        <v>51</v>
      </c>
    </row>
    <row r="1387" spans="19:20" x14ac:dyDescent="0.25">
      <c r="S1387" s="11" t="s">
        <v>1343</v>
      </c>
      <c r="T1387">
        <v>51</v>
      </c>
    </row>
    <row r="1388" spans="19:20" x14ac:dyDescent="0.25">
      <c r="S1388" s="9" t="s">
        <v>145</v>
      </c>
      <c r="T1388">
        <v>20</v>
      </c>
    </row>
    <row r="1389" spans="19:20" x14ac:dyDescent="0.25">
      <c r="S1389" s="10" t="s">
        <v>16</v>
      </c>
      <c r="T1389">
        <v>20</v>
      </c>
    </row>
    <row r="1390" spans="19:20" x14ac:dyDescent="0.25">
      <c r="S1390" s="11" t="s">
        <v>144</v>
      </c>
      <c r="T1390">
        <v>20</v>
      </c>
    </row>
    <row r="1391" spans="19:20" x14ac:dyDescent="0.25">
      <c r="S1391" s="9" t="s">
        <v>572</v>
      </c>
      <c r="T1391">
        <v>41</v>
      </c>
    </row>
    <row r="1392" spans="19:20" x14ac:dyDescent="0.25">
      <c r="S1392" s="10" t="s">
        <v>16</v>
      </c>
      <c r="T1392">
        <v>41</v>
      </c>
    </row>
    <row r="1393" spans="19:20" x14ac:dyDescent="0.25">
      <c r="S1393" s="11" t="s">
        <v>571</v>
      </c>
      <c r="T1393">
        <v>41</v>
      </c>
    </row>
    <row r="1394" spans="19:20" x14ac:dyDescent="0.25">
      <c r="S1394" s="9" t="s">
        <v>302</v>
      </c>
      <c r="T1394">
        <v>48</v>
      </c>
    </row>
    <row r="1395" spans="19:20" x14ac:dyDescent="0.25">
      <c r="S1395" s="10" t="s">
        <v>16</v>
      </c>
      <c r="T1395">
        <v>48</v>
      </c>
    </row>
    <row r="1396" spans="19:20" x14ac:dyDescent="0.25">
      <c r="S1396" s="11" t="s">
        <v>301</v>
      </c>
      <c r="T1396">
        <v>48</v>
      </c>
    </row>
    <row r="1397" spans="19:20" x14ac:dyDescent="0.25">
      <c r="S1397" s="9" t="s">
        <v>667</v>
      </c>
      <c r="T1397">
        <v>52</v>
      </c>
    </row>
    <row r="1398" spans="19:20" x14ac:dyDescent="0.25">
      <c r="S1398" s="10" t="s">
        <v>9</v>
      </c>
      <c r="T1398">
        <v>52</v>
      </c>
    </row>
    <row r="1399" spans="19:20" x14ac:dyDescent="0.25">
      <c r="S1399" s="11" t="s">
        <v>666</v>
      </c>
      <c r="T1399">
        <v>52</v>
      </c>
    </row>
    <row r="1400" spans="19:20" x14ac:dyDescent="0.25">
      <c r="S1400" s="9" t="s">
        <v>1000</v>
      </c>
      <c r="T1400">
        <v>64</v>
      </c>
    </row>
    <row r="1401" spans="19:20" x14ac:dyDescent="0.25">
      <c r="S1401" s="10" t="s">
        <v>16</v>
      </c>
      <c r="T1401">
        <v>64</v>
      </c>
    </row>
    <row r="1402" spans="19:20" x14ac:dyDescent="0.25">
      <c r="S1402" s="11" t="s">
        <v>999</v>
      </c>
      <c r="T1402">
        <v>64</v>
      </c>
    </row>
    <row r="1403" spans="19:20" x14ac:dyDescent="0.25">
      <c r="S1403" s="9" t="s">
        <v>1209</v>
      </c>
      <c r="T1403">
        <v>28</v>
      </c>
    </row>
    <row r="1404" spans="19:20" x14ac:dyDescent="0.25">
      <c r="S1404" s="10" t="s">
        <v>16</v>
      </c>
      <c r="T1404">
        <v>28</v>
      </c>
    </row>
    <row r="1405" spans="19:20" x14ac:dyDescent="0.25">
      <c r="S1405" s="11" t="s">
        <v>1208</v>
      </c>
      <c r="T1405">
        <v>28</v>
      </c>
    </row>
    <row r="1406" spans="19:20" x14ac:dyDescent="0.25">
      <c r="S1406" s="9" t="s">
        <v>744</v>
      </c>
      <c r="T1406">
        <v>22</v>
      </c>
    </row>
    <row r="1407" spans="19:20" x14ac:dyDescent="0.25">
      <c r="S1407" s="10" t="s">
        <v>16</v>
      </c>
      <c r="T1407">
        <v>22</v>
      </c>
    </row>
    <row r="1408" spans="19:20" x14ac:dyDescent="0.25">
      <c r="S1408" s="11" t="s">
        <v>743</v>
      </c>
      <c r="T1408">
        <v>22</v>
      </c>
    </row>
    <row r="1409" spans="19:20" x14ac:dyDescent="0.25">
      <c r="S1409" s="9" t="s">
        <v>741</v>
      </c>
      <c r="T1409">
        <v>29</v>
      </c>
    </row>
    <row r="1410" spans="19:20" x14ac:dyDescent="0.25">
      <c r="S1410" s="10" t="s">
        <v>9</v>
      </c>
      <c r="T1410">
        <v>29</v>
      </c>
    </row>
    <row r="1411" spans="19:20" x14ac:dyDescent="0.25">
      <c r="S1411" s="11" t="s">
        <v>740</v>
      </c>
      <c r="T1411">
        <v>29</v>
      </c>
    </row>
    <row r="1412" spans="19:20" x14ac:dyDescent="0.25">
      <c r="S1412" s="9" t="s">
        <v>1212</v>
      </c>
      <c r="T1412">
        <v>53</v>
      </c>
    </row>
    <row r="1413" spans="19:20" x14ac:dyDescent="0.25">
      <c r="S1413" s="10" t="s">
        <v>9</v>
      </c>
      <c r="T1413">
        <v>53</v>
      </c>
    </row>
    <row r="1414" spans="19:20" x14ac:dyDescent="0.25">
      <c r="S1414" s="11" t="s">
        <v>1211</v>
      </c>
      <c r="T1414">
        <v>53</v>
      </c>
    </row>
    <row r="1415" spans="19:20" x14ac:dyDescent="0.25">
      <c r="S1415" s="9" t="s">
        <v>189</v>
      </c>
      <c r="T1415">
        <v>45</v>
      </c>
    </row>
    <row r="1416" spans="19:20" x14ac:dyDescent="0.25">
      <c r="S1416" s="10" t="s">
        <v>16</v>
      </c>
      <c r="T1416">
        <v>45</v>
      </c>
    </row>
    <row r="1417" spans="19:20" x14ac:dyDescent="0.25">
      <c r="S1417" s="11" t="s">
        <v>188</v>
      </c>
      <c r="T1417">
        <v>45</v>
      </c>
    </row>
    <row r="1418" spans="19:20" x14ac:dyDescent="0.25">
      <c r="S1418" s="9" t="s">
        <v>319</v>
      </c>
      <c r="T1418">
        <v>58</v>
      </c>
    </row>
    <row r="1419" spans="19:20" x14ac:dyDescent="0.25">
      <c r="S1419" s="10" t="s">
        <v>9</v>
      </c>
      <c r="T1419">
        <v>58</v>
      </c>
    </row>
    <row r="1420" spans="19:20" x14ac:dyDescent="0.25">
      <c r="S1420" s="11" t="s">
        <v>318</v>
      </c>
      <c r="T1420">
        <v>58</v>
      </c>
    </row>
    <row r="1421" spans="19:20" x14ac:dyDescent="0.25">
      <c r="S1421" s="9" t="s">
        <v>629</v>
      </c>
      <c r="T1421">
        <v>29</v>
      </c>
    </row>
    <row r="1422" spans="19:20" x14ac:dyDescent="0.25">
      <c r="S1422" s="10" t="s">
        <v>16</v>
      </c>
      <c r="T1422">
        <v>29</v>
      </c>
    </row>
    <row r="1423" spans="19:20" x14ac:dyDescent="0.25">
      <c r="S1423" s="11" t="s">
        <v>628</v>
      </c>
      <c r="T1423">
        <v>29</v>
      </c>
    </row>
    <row r="1424" spans="19:20" x14ac:dyDescent="0.25">
      <c r="S1424" s="9" t="s">
        <v>909</v>
      </c>
      <c r="T1424">
        <v>22</v>
      </c>
    </row>
    <row r="1425" spans="19:20" x14ac:dyDescent="0.25">
      <c r="S1425" s="10" t="s">
        <v>9</v>
      </c>
      <c r="T1425">
        <v>22</v>
      </c>
    </row>
    <row r="1426" spans="19:20" x14ac:dyDescent="0.25">
      <c r="S1426" s="11" t="s">
        <v>908</v>
      </c>
      <c r="T1426">
        <v>22</v>
      </c>
    </row>
    <row r="1427" spans="19:20" x14ac:dyDescent="0.25">
      <c r="S1427" s="9" t="s">
        <v>265</v>
      </c>
      <c r="T1427">
        <v>39</v>
      </c>
    </row>
    <row r="1428" spans="19:20" x14ac:dyDescent="0.25">
      <c r="S1428" s="10" t="s">
        <v>16</v>
      </c>
      <c r="T1428">
        <v>39</v>
      </c>
    </row>
    <row r="1429" spans="19:20" x14ac:dyDescent="0.25">
      <c r="S1429" s="11" t="s">
        <v>264</v>
      </c>
      <c r="T1429">
        <v>39</v>
      </c>
    </row>
    <row r="1430" spans="19:20" x14ac:dyDescent="0.25">
      <c r="S1430" s="9" t="s">
        <v>154</v>
      </c>
      <c r="T1430">
        <v>55</v>
      </c>
    </row>
    <row r="1431" spans="19:20" x14ac:dyDescent="0.25">
      <c r="S1431" s="10" t="s">
        <v>16</v>
      </c>
      <c r="T1431">
        <v>55</v>
      </c>
    </row>
    <row r="1432" spans="19:20" x14ac:dyDescent="0.25">
      <c r="S1432" s="11" t="s">
        <v>153</v>
      </c>
      <c r="T1432">
        <v>55</v>
      </c>
    </row>
    <row r="1433" spans="19:20" x14ac:dyDescent="0.25">
      <c r="S1433" s="9" t="s">
        <v>1531</v>
      </c>
      <c r="T1433">
        <v>35</v>
      </c>
    </row>
    <row r="1434" spans="19:20" x14ac:dyDescent="0.25">
      <c r="S1434" s="10" t="s">
        <v>9</v>
      </c>
      <c r="T1434">
        <v>35</v>
      </c>
    </row>
    <row r="1435" spans="19:20" x14ac:dyDescent="0.25">
      <c r="S1435" s="11" t="s">
        <v>1530</v>
      </c>
      <c r="T1435">
        <v>35</v>
      </c>
    </row>
    <row r="1436" spans="19:20" x14ac:dyDescent="0.25">
      <c r="S1436" s="9" t="s">
        <v>847</v>
      </c>
      <c r="T1436">
        <v>38</v>
      </c>
    </row>
    <row r="1437" spans="19:20" x14ac:dyDescent="0.25">
      <c r="S1437" s="10" t="s">
        <v>9</v>
      </c>
      <c r="T1437">
        <v>38</v>
      </c>
    </row>
    <row r="1438" spans="19:20" x14ac:dyDescent="0.25">
      <c r="S1438" s="11" t="s">
        <v>846</v>
      </c>
      <c r="T1438">
        <v>38</v>
      </c>
    </row>
    <row r="1439" spans="19:20" x14ac:dyDescent="0.25">
      <c r="S1439" s="9" t="s">
        <v>943</v>
      </c>
      <c r="T1439">
        <v>64</v>
      </c>
    </row>
    <row r="1440" spans="19:20" x14ac:dyDescent="0.25">
      <c r="S1440" s="10" t="s">
        <v>9</v>
      </c>
      <c r="T1440">
        <v>64</v>
      </c>
    </row>
    <row r="1441" spans="19:20" x14ac:dyDescent="0.25">
      <c r="S1441" s="11" t="s">
        <v>942</v>
      </c>
      <c r="T1441">
        <v>64</v>
      </c>
    </row>
    <row r="1442" spans="19:20" x14ac:dyDescent="0.25">
      <c r="S1442" s="9" t="s">
        <v>382</v>
      </c>
      <c r="T1442">
        <v>38</v>
      </c>
    </row>
    <row r="1443" spans="19:20" x14ac:dyDescent="0.25">
      <c r="S1443" s="10" t="s">
        <v>9</v>
      </c>
      <c r="T1443">
        <v>38</v>
      </c>
    </row>
    <row r="1444" spans="19:20" x14ac:dyDescent="0.25">
      <c r="S1444" s="11" t="s">
        <v>381</v>
      </c>
      <c r="T1444">
        <v>38</v>
      </c>
    </row>
    <row r="1445" spans="19:20" x14ac:dyDescent="0.25">
      <c r="S1445" s="9" t="s">
        <v>403</v>
      </c>
      <c r="T1445">
        <v>53</v>
      </c>
    </row>
    <row r="1446" spans="19:20" x14ac:dyDescent="0.25">
      <c r="S1446" s="10" t="s">
        <v>16</v>
      </c>
      <c r="T1446">
        <v>53</v>
      </c>
    </row>
    <row r="1447" spans="19:20" x14ac:dyDescent="0.25">
      <c r="S1447" s="11" t="s">
        <v>402</v>
      </c>
      <c r="T1447">
        <v>53</v>
      </c>
    </row>
    <row r="1448" spans="19:20" x14ac:dyDescent="0.25">
      <c r="S1448" s="9" t="s">
        <v>1290</v>
      </c>
      <c r="T1448">
        <v>26</v>
      </c>
    </row>
    <row r="1449" spans="19:20" x14ac:dyDescent="0.25">
      <c r="S1449" s="10" t="s">
        <v>16</v>
      </c>
      <c r="T1449">
        <v>26</v>
      </c>
    </row>
    <row r="1450" spans="19:20" x14ac:dyDescent="0.25">
      <c r="S1450" s="11" t="s">
        <v>1289</v>
      </c>
      <c r="T1450">
        <v>26</v>
      </c>
    </row>
    <row r="1451" spans="19:20" x14ac:dyDescent="0.25">
      <c r="S1451" s="9" t="s">
        <v>804</v>
      </c>
      <c r="T1451">
        <v>64</v>
      </c>
    </row>
    <row r="1452" spans="19:20" x14ac:dyDescent="0.25">
      <c r="S1452" s="10" t="s">
        <v>9</v>
      </c>
      <c r="T1452">
        <v>64</v>
      </c>
    </row>
    <row r="1453" spans="19:20" x14ac:dyDescent="0.25">
      <c r="S1453" s="11" t="s">
        <v>803</v>
      </c>
      <c r="T1453">
        <v>64</v>
      </c>
    </row>
    <row r="1454" spans="19:20" x14ac:dyDescent="0.25">
      <c r="S1454" s="9" t="s">
        <v>1406</v>
      </c>
      <c r="T1454">
        <v>54</v>
      </c>
    </row>
    <row r="1455" spans="19:20" x14ac:dyDescent="0.25">
      <c r="S1455" s="10" t="s">
        <v>9</v>
      </c>
      <c r="T1455">
        <v>54</v>
      </c>
    </row>
    <row r="1456" spans="19:20" x14ac:dyDescent="0.25">
      <c r="S1456" s="11" t="s">
        <v>1405</v>
      </c>
      <c r="T1456">
        <v>54</v>
      </c>
    </row>
    <row r="1457" spans="19:20" x14ac:dyDescent="0.25">
      <c r="S1457" s="9" t="s">
        <v>858</v>
      </c>
      <c r="T1457">
        <v>45</v>
      </c>
    </row>
    <row r="1458" spans="19:20" x14ac:dyDescent="0.25">
      <c r="S1458" s="10" t="s">
        <v>16</v>
      </c>
      <c r="T1458">
        <v>45</v>
      </c>
    </row>
    <row r="1459" spans="19:20" x14ac:dyDescent="0.25">
      <c r="S1459" s="11" t="s">
        <v>857</v>
      </c>
      <c r="T1459">
        <v>45</v>
      </c>
    </row>
    <row r="1460" spans="19:20" x14ac:dyDescent="0.25">
      <c r="S1460" s="9" t="s">
        <v>801</v>
      </c>
      <c r="T1460">
        <v>48</v>
      </c>
    </row>
    <row r="1461" spans="19:20" x14ac:dyDescent="0.25">
      <c r="S1461" s="10" t="s">
        <v>9</v>
      </c>
      <c r="T1461">
        <v>48</v>
      </c>
    </row>
    <row r="1462" spans="19:20" x14ac:dyDescent="0.25">
      <c r="S1462" s="11" t="s">
        <v>800</v>
      </c>
      <c r="T1462">
        <v>48</v>
      </c>
    </row>
    <row r="1463" spans="19:20" x14ac:dyDescent="0.25">
      <c r="S1463" s="9" t="s">
        <v>1036</v>
      </c>
      <c r="T1463">
        <v>62</v>
      </c>
    </row>
    <row r="1464" spans="19:20" x14ac:dyDescent="0.25">
      <c r="S1464" s="10" t="s">
        <v>16</v>
      </c>
      <c r="T1464">
        <v>62</v>
      </c>
    </row>
    <row r="1465" spans="19:20" x14ac:dyDescent="0.25">
      <c r="S1465" s="11" t="s">
        <v>1035</v>
      </c>
      <c r="T1465">
        <v>62</v>
      </c>
    </row>
    <row r="1466" spans="19:20" x14ac:dyDescent="0.25">
      <c r="S1466" s="9" t="s">
        <v>649</v>
      </c>
      <c r="T1466">
        <v>54</v>
      </c>
    </row>
    <row r="1467" spans="19:20" x14ac:dyDescent="0.25">
      <c r="S1467" s="10" t="s">
        <v>9</v>
      </c>
      <c r="T1467">
        <v>54</v>
      </c>
    </row>
    <row r="1468" spans="19:20" x14ac:dyDescent="0.25">
      <c r="S1468" s="11" t="s">
        <v>648</v>
      </c>
      <c r="T1468">
        <v>54</v>
      </c>
    </row>
    <row r="1469" spans="19:20" x14ac:dyDescent="0.25">
      <c r="S1469" s="9" t="s">
        <v>209</v>
      </c>
      <c r="T1469">
        <v>56</v>
      </c>
    </row>
    <row r="1470" spans="19:20" x14ac:dyDescent="0.25">
      <c r="S1470" s="10" t="s">
        <v>16</v>
      </c>
      <c r="T1470">
        <v>56</v>
      </c>
    </row>
    <row r="1471" spans="19:20" x14ac:dyDescent="0.25">
      <c r="S1471" s="11" t="s">
        <v>208</v>
      </c>
      <c r="T1471">
        <v>56</v>
      </c>
    </row>
    <row r="1472" spans="19:20" x14ac:dyDescent="0.25">
      <c r="S1472" s="9" t="s">
        <v>762</v>
      </c>
      <c r="T1472">
        <v>41</v>
      </c>
    </row>
    <row r="1473" spans="19:20" x14ac:dyDescent="0.25">
      <c r="S1473" s="10" t="s">
        <v>16</v>
      </c>
      <c r="T1473">
        <v>41</v>
      </c>
    </row>
    <row r="1474" spans="19:20" x14ac:dyDescent="0.25">
      <c r="S1474" s="11" t="s">
        <v>761</v>
      </c>
      <c r="T1474">
        <v>41</v>
      </c>
    </row>
    <row r="1475" spans="19:20" x14ac:dyDescent="0.25">
      <c r="S1475" s="9" t="s">
        <v>596</v>
      </c>
      <c r="T1475">
        <v>38</v>
      </c>
    </row>
    <row r="1476" spans="19:20" x14ac:dyDescent="0.25">
      <c r="S1476" s="10" t="s">
        <v>9</v>
      </c>
      <c r="T1476">
        <v>38</v>
      </c>
    </row>
    <row r="1477" spans="19:20" x14ac:dyDescent="0.25">
      <c r="S1477" s="11" t="s">
        <v>595</v>
      </c>
      <c r="T1477">
        <v>38</v>
      </c>
    </row>
    <row r="1478" spans="19:20" x14ac:dyDescent="0.25">
      <c r="S1478" s="9" t="s">
        <v>1390</v>
      </c>
      <c r="T1478">
        <v>29</v>
      </c>
    </row>
    <row r="1479" spans="19:20" x14ac:dyDescent="0.25">
      <c r="S1479" s="10" t="s">
        <v>9</v>
      </c>
      <c r="T1479">
        <v>29</v>
      </c>
    </row>
    <row r="1480" spans="19:20" x14ac:dyDescent="0.25">
      <c r="S1480" s="11" t="s">
        <v>1389</v>
      </c>
      <c r="T1480">
        <v>29</v>
      </c>
    </row>
    <row r="1481" spans="19:20" x14ac:dyDescent="0.25">
      <c r="S1481" s="9" t="s">
        <v>771</v>
      </c>
      <c r="T1481">
        <v>59</v>
      </c>
    </row>
    <row r="1482" spans="19:20" x14ac:dyDescent="0.25">
      <c r="S1482" s="10" t="s">
        <v>16</v>
      </c>
      <c r="T1482">
        <v>59</v>
      </c>
    </row>
    <row r="1483" spans="19:20" x14ac:dyDescent="0.25">
      <c r="S1483" s="11" t="s">
        <v>770</v>
      </c>
      <c r="T1483">
        <v>59</v>
      </c>
    </row>
    <row r="1484" spans="19:20" x14ac:dyDescent="0.25">
      <c r="S1484" s="9" t="s">
        <v>777</v>
      </c>
      <c r="T1484">
        <v>58</v>
      </c>
    </row>
    <row r="1485" spans="19:20" x14ac:dyDescent="0.25">
      <c r="S1485" s="10" t="s">
        <v>16</v>
      </c>
      <c r="T1485">
        <v>58</v>
      </c>
    </row>
    <row r="1486" spans="19:20" x14ac:dyDescent="0.25">
      <c r="S1486" s="11" t="s">
        <v>776</v>
      </c>
      <c r="T1486">
        <v>58</v>
      </c>
    </row>
    <row r="1487" spans="19:20" x14ac:dyDescent="0.25">
      <c r="S1487" s="9" t="s">
        <v>165</v>
      </c>
      <c r="T1487">
        <v>19</v>
      </c>
    </row>
    <row r="1488" spans="19:20" x14ac:dyDescent="0.25">
      <c r="S1488" s="10" t="s">
        <v>9</v>
      </c>
      <c r="T1488">
        <v>19</v>
      </c>
    </row>
    <row r="1489" spans="19:20" x14ac:dyDescent="0.25">
      <c r="S1489" s="11" t="s">
        <v>164</v>
      </c>
      <c r="T1489">
        <v>19</v>
      </c>
    </row>
    <row r="1490" spans="19:20" x14ac:dyDescent="0.25">
      <c r="S1490" s="9" t="s">
        <v>994</v>
      </c>
      <c r="T1490">
        <v>49</v>
      </c>
    </row>
    <row r="1491" spans="19:20" x14ac:dyDescent="0.25">
      <c r="S1491" s="10" t="s">
        <v>9</v>
      </c>
      <c r="T1491">
        <v>49</v>
      </c>
    </row>
    <row r="1492" spans="19:20" x14ac:dyDescent="0.25">
      <c r="S1492" s="11" t="s">
        <v>993</v>
      </c>
      <c r="T1492">
        <v>49</v>
      </c>
    </row>
    <row r="1493" spans="19:20" x14ac:dyDescent="0.25">
      <c r="S1493" s="9" t="s">
        <v>1502</v>
      </c>
      <c r="T1493">
        <v>23</v>
      </c>
    </row>
    <row r="1494" spans="19:20" x14ac:dyDescent="0.25">
      <c r="S1494" s="10" t="s">
        <v>16</v>
      </c>
      <c r="T1494">
        <v>23</v>
      </c>
    </row>
    <row r="1495" spans="19:20" x14ac:dyDescent="0.25">
      <c r="S1495" s="11" t="s">
        <v>1501</v>
      </c>
      <c r="T1495">
        <v>23</v>
      </c>
    </row>
    <row r="1496" spans="19:20" x14ac:dyDescent="0.25">
      <c r="S1496" s="9" t="s">
        <v>853</v>
      </c>
      <c r="T1496">
        <v>18</v>
      </c>
    </row>
    <row r="1497" spans="19:20" x14ac:dyDescent="0.25">
      <c r="S1497" s="10" t="s">
        <v>9</v>
      </c>
      <c r="T1497">
        <v>18</v>
      </c>
    </row>
    <row r="1498" spans="19:20" x14ac:dyDescent="0.25">
      <c r="S1498" s="11" t="s">
        <v>852</v>
      </c>
      <c r="T1498">
        <v>18</v>
      </c>
    </row>
    <row r="1499" spans="19:20" x14ac:dyDescent="0.25">
      <c r="S1499" s="9" t="s">
        <v>1555</v>
      </c>
      <c r="T1499">
        <v>20781</v>
      </c>
    </row>
  </sheetData>
  <pageMargins left="0.75" right="0.75" top="1" bottom="1" header="0.5" footer="0.5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ACEF-B3B2-4F82-89F1-B287F20E7DB1}">
  <dimension ref="A1:R501"/>
  <sheetViews>
    <sheetView tabSelected="1" topLeftCell="G1" workbookViewId="0">
      <selection activeCell="O5" sqref="O5"/>
    </sheetView>
  </sheetViews>
  <sheetFormatPr defaultRowHeight="15" x14ac:dyDescent="0.25"/>
  <cols>
    <col min="1" max="1" width="17" bestFit="1" customWidth="1"/>
    <col min="2" max="2" width="21.7109375" bestFit="1" customWidth="1"/>
    <col min="3" max="3" width="9" bestFit="1" customWidth="1"/>
    <col min="4" max="4" width="12.28515625" bestFit="1" customWidth="1"/>
    <col min="5" max="5" width="22.42578125" bestFit="1" customWidth="1"/>
    <col min="6" max="6" width="15.28515625" bestFit="1" customWidth="1"/>
    <col min="7" max="7" width="23.28515625" bestFit="1" customWidth="1"/>
    <col min="8" max="8" width="17.7109375" bestFit="1" customWidth="1"/>
    <col min="9" max="9" width="18.7109375" bestFit="1" customWidth="1"/>
    <col min="11" max="11" width="18.140625" bestFit="1" customWidth="1"/>
    <col min="12" max="12" width="12.7109375" bestFit="1" customWidth="1"/>
    <col min="14" max="14" width="11.42578125" bestFit="1" customWidth="1"/>
    <col min="15" max="15" width="16.42578125" bestFit="1" customWidth="1"/>
    <col min="16" max="16" width="16.85546875" bestFit="1" customWidth="1"/>
    <col min="17" max="17" width="11.140625" bestFit="1" customWidth="1"/>
    <col min="18" max="18" width="12.5703125" bestFit="1" customWidth="1"/>
  </cols>
  <sheetData>
    <row r="1" spans="1:18" x14ac:dyDescent="0.25">
      <c r="A1" s="1" t="s">
        <v>0</v>
      </c>
      <c r="B1" s="1" t="s">
        <v>1548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1593</v>
      </c>
      <c r="K1" t="s">
        <v>1594</v>
      </c>
      <c r="L1" t="s">
        <v>1595</v>
      </c>
      <c r="N1" s="4" t="s">
        <v>1549</v>
      </c>
      <c r="O1" s="4" t="s">
        <v>1550</v>
      </c>
      <c r="P1" s="5" t="s">
        <v>1551</v>
      </c>
      <c r="Q1" s="3" t="s">
        <v>1552</v>
      </c>
      <c r="R1" s="2" t="s">
        <v>1553</v>
      </c>
    </row>
    <row r="2" spans="1:18" x14ac:dyDescent="0.25">
      <c r="A2" t="s">
        <v>8</v>
      </c>
      <c r="B2" s="12" t="s">
        <v>1578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1592</v>
      </c>
      <c r="I2">
        <v>1000</v>
      </c>
      <c r="K2" t="s">
        <v>1579</v>
      </c>
      <c r="L2">
        <v>41.561999999999998</v>
      </c>
      <c r="N2">
        <v>20781</v>
      </c>
      <c r="O2">
        <v>18</v>
      </c>
      <c r="P2">
        <v>64</v>
      </c>
      <c r="Q2">
        <v>500</v>
      </c>
      <c r="R2">
        <v>41.561999999999998</v>
      </c>
    </row>
    <row r="3" spans="1:18" x14ac:dyDescent="0.25">
      <c r="A3" t="s">
        <v>14</v>
      </c>
      <c r="B3" s="1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  <c r="I3">
        <v>1001</v>
      </c>
      <c r="K3" t="s">
        <v>1591</v>
      </c>
      <c r="L3">
        <v>0.61138522699815301</v>
      </c>
    </row>
    <row r="4" spans="1:18" x14ac:dyDescent="0.25">
      <c r="A4" t="s">
        <v>20</v>
      </c>
      <c r="B4" s="12" t="s">
        <v>1561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  <c r="I4">
        <v>1002</v>
      </c>
      <c r="K4" t="s">
        <v>1580</v>
      </c>
      <c r="L4">
        <v>42</v>
      </c>
    </row>
    <row r="5" spans="1:18" x14ac:dyDescent="0.25">
      <c r="A5" t="s">
        <v>23</v>
      </c>
      <c r="B5" s="13" t="s">
        <v>1565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  <c r="I5">
        <v>1003</v>
      </c>
      <c r="K5" t="s">
        <v>1581</v>
      </c>
      <c r="L5">
        <v>46</v>
      </c>
      <c r="N5" s="17"/>
      <c r="O5" s="17"/>
    </row>
    <row r="6" spans="1:18" x14ac:dyDescent="0.25">
      <c r="A6" t="s">
        <v>27</v>
      </c>
      <c r="B6" s="12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  <c r="I6">
        <v>1004</v>
      </c>
      <c r="K6" t="s">
        <v>1590</v>
      </c>
      <c r="L6">
        <v>13.670989280070099</v>
      </c>
    </row>
    <row r="7" spans="1:18" x14ac:dyDescent="0.25">
      <c r="A7" t="s">
        <v>32</v>
      </c>
      <c r="B7" s="13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  <c r="I7">
        <v>1005</v>
      </c>
      <c r="K7" t="s">
        <v>1589</v>
      </c>
      <c r="L7">
        <v>186.89594789579155</v>
      </c>
    </row>
    <row r="8" spans="1:18" x14ac:dyDescent="0.25">
      <c r="A8" t="s">
        <v>36</v>
      </c>
      <c r="B8" s="12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  <c r="I8">
        <v>1006</v>
      </c>
      <c r="K8" t="s">
        <v>1588</v>
      </c>
      <c r="L8">
        <v>-1.2193919892240328</v>
      </c>
    </row>
    <row r="9" spans="1:18" x14ac:dyDescent="0.25">
      <c r="A9" t="s">
        <v>40</v>
      </c>
      <c r="B9" s="13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  <c r="I9">
        <v>1007</v>
      </c>
      <c r="K9" t="s">
        <v>1587</v>
      </c>
      <c r="L9">
        <v>-3.6548529921374591E-2</v>
      </c>
    </row>
    <row r="10" spans="1:18" x14ac:dyDescent="0.25">
      <c r="A10" t="s">
        <v>44</v>
      </c>
      <c r="B10" s="12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  <c r="I10">
        <v>1008</v>
      </c>
      <c r="K10" t="s">
        <v>1586</v>
      </c>
      <c r="L10">
        <v>46</v>
      </c>
    </row>
    <row r="11" spans="1:18" x14ac:dyDescent="0.25">
      <c r="A11" t="s">
        <v>48</v>
      </c>
      <c r="B11" s="13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  <c r="I11">
        <v>1009</v>
      </c>
      <c r="K11" t="s">
        <v>1585</v>
      </c>
      <c r="L11">
        <v>18</v>
      </c>
    </row>
    <row r="12" spans="1:18" x14ac:dyDescent="0.25">
      <c r="A12" t="s">
        <v>52</v>
      </c>
      <c r="B12" s="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  <c r="I12">
        <v>1010</v>
      </c>
      <c r="K12" t="s">
        <v>1584</v>
      </c>
      <c r="L12">
        <v>64</v>
      </c>
    </row>
    <row r="13" spans="1:18" x14ac:dyDescent="0.25">
      <c r="A13" t="s">
        <v>55</v>
      </c>
      <c r="B13" s="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  <c r="I13">
        <v>1011</v>
      </c>
      <c r="K13" t="s">
        <v>1583</v>
      </c>
      <c r="L13">
        <v>20781</v>
      </c>
    </row>
    <row r="14" spans="1:18" x14ac:dyDescent="0.25">
      <c r="A14" t="s">
        <v>59</v>
      </c>
      <c r="B14" s="12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  <c r="I14">
        <v>1012</v>
      </c>
      <c r="K14" t="s">
        <v>1582</v>
      </c>
      <c r="L14">
        <v>500</v>
      </c>
    </row>
    <row r="15" spans="1:18" x14ac:dyDescent="0.25">
      <c r="A15" t="s">
        <v>63</v>
      </c>
      <c r="B15" s="13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  <c r="I15">
        <v>1013</v>
      </c>
    </row>
    <row r="16" spans="1:18" x14ac:dyDescent="0.25">
      <c r="A16" t="s">
        <v>67</v>
      </c>
      <c r="B16" s="12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  <c r="I16">
        <v>1014</v>
      </c>
    </row>
    <row r="17" spans="1:9" x14ac:dyDescent="0.25">
      <c r="A17" t="s">
        <v>71</v>
      </c>
      <c r="B17" s="13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  <c r="I17">
        <v>1015</v>
      </c>
    </row>
    <row r="18" spans="1:9" x14ac:dyDescent="0.25">
      <c r="A18" t="s">
        <v>75</v>
      </c>
      <c r="B18" s="12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  <c r="I18">
        <v>1016</v>
      </c>
    </row>
    <row r="19" spans="1:9" x14ac:dyDescent="0.25">
      <c r="A19" t="s">
        <v>78</v>
      </c>
      <c r="B19" s="13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  <c r="I19">
        <v>1017</v>
      </c>
    </row>
    <row r="20" spans="1:9" x14ac:dyDescent="0.25">
      <c r="A20" t="s">
        <v>82</v>
      </c>
      <c r="B20" s="12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1592</v>
      </c>
      <c r="I20">
        <v>1018</v>
      </c>
    </row>
    <row r="21" spans="1:9" x14ac:dyDescent="0.25">
      <c r="A21" t="s">
        <v>85</v>
      </c>
      <c r="B21" s="13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  <c r="I21">
        <v>1019</v>
      </c>
    </row>
    <row r="22" spans="1:9" x14ac:dyDescent="0.25">
      <c r="A22" t="s">
        <v>89</v>
      </c>
      <c r="B22" s="1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  <c r="I22">
        <v>1020</v>
      </c>
    </row>
    <row r="23" spans="1:9" x14ac:dyDescent="0.25">
      <c r="A23" t="s">
        <v>93</v>
      </c>
      <c r="B23" s="1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  <c r="I23">
        <v>1021</v>
      </c>
    </row>
    <row r="24" spans="1:9" x14ac:dyDescent="0.25">
      <c r="A24" t="s">
        <v>97</v>
      </c>
      <c r="B24" s="12" t="s">
        <v>1576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  <c r="I24">
        <v>1022</v>
      </c>
    </row>
    <row r="25" spans="1:9" x14ac:dyDescent="0.25">
      <c r="A25" t="s">
        <v>100</v>
      </c>
      <c r="B25" s="13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  <c r="I25">
        <v>1023</v>
      </c>
    </row>
    <row r="26" spans="1:9" x14ac:dyDescent="0.25">
      <c r="A26" t="s">
        <v>103</v>
      </c>
      <c r="B26" s="12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  <c r="I26">
        <v>1024</v>
      </c>
    </row>
    <row r="27" spans="1:9" x14ac:dyDescent="0.25">
      <c r="A27" t="s">
        <v>107</v>
      </c>
      <c r="B27" s="13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  <c r="I27">
        <v>1025</v>
      </c>
    </row>
    <row r="28" spans="1:9" x14ac:dyDescent="0.25">
      <c r="A28" t="s">
        <v>110</v>
      </c>
      <c r="B28" s="12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  <c r="I28">
        <v>1026</v>
      </c>
    </row>
    <row r="29" spans="1:9" x14ac:dyDescent="0.25">
      <c r="A29" t="s">
        <v>114</v>
      </c>
      <c r="B29" s="13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1592</v>
      </c>
      <c r="I29">
        <v>1027</v>
      </c>
    </row>
    <row r="30" spans="1:9" x14ac:dyDescent="0.25">
      <c r="A30" t="s">
        <v>118</v>
      </c>
      <c r="B30" s="12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  <c r="I30">
        <v>1028</v>
      </c>
    </row>
    <row r="31" spans="1:9" x14ac:dyDescent="0.25">
      <c r="A31" t="s">
        <v>121</v>
      </c>
      <c r="B31" s="13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  <c r="I31">
        <v>1029</v>
      </c>
    </row>
    <row r="32" spans="1:9" x14ac:dyDescent="0.25">
      <c r="A32" t="s">
        <v>124</v>
      </c>
      <c r="B32" s="1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  <c r="I32">
        <v>1030</v>
      </c>
    </row>
    <row r="33" spans="1:9" x14ac:dyDescent="0.25">
      <c r="A33" t="s">
        <v>127</v>
      </c>
      <c r="B33" s="1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  <c r="I33">
        <v>1031</v>
      </c>
    </row>
    <row r="34" spans="1:9" x14ac:dyDescent="0.25">
      <c r="A34" t="s">
        <v>130</v>
      </c>
      <c r="B34" s="12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  <c r="I34">
        <v>1032</v>
      </c>
    </row>
    <row r="35" spans="1:9" x14ac:dyDescent="0.25">
      <c r="A35" t="s">
        <v>134</v>
      </c>
      <c r="B35" s="13" t="s">
        <v>1574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  <c r="I35">
        <v>1033</v>
      </c>
    </row>
    <row r="36" spans="1:9" x14ac:dyDescent="0.25">
      <c r="A36" t="s">
        <v>137</v>
      </c>
      <c r="B36" s="12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  <c r="I36">
        <v>1034</v>
      </c>
    </row>
    <row r="37" spans="1:9" x14ac:dyDescent="0.25">
      <c r="A37" t="s">
        <v>141</v>
      </c>
      <c r="B37" s="13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  <c r="I37">
        <v>1035</v>
      </c>
    </row>
    <row r="38" spans="1:9" x14ac:dyDescent="0.25">
      <c r="A38" t="s">
        <v>144</v>
      </c>
      <c r="B38" s="12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  <c r="I38">
        <v>1036</v>
      </c>
    </row>
    <row r="39" spans="1:9" x14ac:dyDescent="0.25">
      <c r="A39" t="s">
        <v>147</v>
      </c>
      <c r="B39" s="13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H39" t="s">
        <v>1592</v>
      </c>
      <c r="I39">
        <v>1037</v>
      </c>
    </row>
    <row r="40" spans="1:9" x14ac:dyDescent="0.25">
      <c r="A40" t="s">
        <v>150</v>
      </c>
      <c r="B40" s="12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  <c r="I40">
        <v>1038</v>
      </c>
    </row>
    <row r="41" spans="1:9" x14ac:dyDescent="0.25">
      <c r="A41" t="s">
        <v>153</v>
      </c>
      <c r="B41" s="13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  <c r="I41">
        <v>1039</v>
      </c>
    </row>
    <row r="42" spans="1:9" x14ac:dyDescent="0.25">
      <c r="A42" t="s">
        <v>157</v>
      </c>
      <c r="B42" s="1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  <c r="I42">
        <v>1040</v>
      </c>
    </row>
    <row r="43" spans="1:9" x14ac:dyDescent="0.25">
      <c r="A43" t="s">
        <v>160</v>
      </c>
      <c r="B43" s="1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  <c r="I43">
        <v>1041</v>
      </c>
    </row>
    <row r="44" spans="1:9" x14ac:dyDescent="0.25">
      <c r="A44" t="s">
        <v>164</v>
      </c>
      <c r="B44" s="12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  <c r="I44">
        <v>1042</v>
      </c>
    </row>
    <row r="45" spans="1:9" x14ac:dyDescent="0.25">
      <c r="A45" t="s">
        <v>168</v>
      </c>
      <c r="B45" s="13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  <c r="I45">
        <v>1043</v>
      </c>
    </row>
    <row r="46" spans="1:9" x14ac:dyDescent="0.25">
      <c r="A46" t="s">
        <v>172</v>
      </c>
      <c r="B46" s="12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  <c r="I46">
        <v>1044</v>
      </c>
    </row>
    <row r="47" spans="1:9" x14ac:dyDescent="0.25">
      <c r="A47" t="s">
        <v>175</v>
      </c>
      <c r="B47" s="13" t="s">
        <v>1570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  <c r="I47">
        <v>1045</v>
      </c>
    </row>
    <row r="48" spans="1:9" x14ac:dyDescent="0.25">
      <c r="A48" t="s">
        <v>178</v>
      </c>
      <c r="B48" s="12" t="s">
        <v>1563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  <c r="I48">
        <v>1046</v>
      </c>
    </row>
    <row r="49" spans="1:9" x14ac:dyDescent="0.25">
      <c r="A49" t="s">
        <v>181</v>
      </c>
      <c r="B49" s="13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  <c r="I49">
        <v>1047</v>
      </c>
    </row>
    <row r="50" spans="1:9" x14ac:dyDescent="0.25">
      <c r="A50" t="s">
        <v>185</v>
      </c>
      <c r="B50" s="12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  <c r="I50">
        <v>1048</v>
      </c>
    </row>
    <row r="51" spans="1:9" x14ac:dyDescent="0.25">
      <c r="A51" t="s">
        <v>188</v>
      </c>
      <c r="B51" s="13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  <c r="I51">
        <v>1049</v>
      </c>
    </row>
    <row r="52" spans="1:9" x14ac:dyDescent="0.25">
      <c r="A52" t="s">
        <v>191</v>
      </c>
      <c r="B52" s="1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  <c r="I52">
        <v>1050</v>
      </c>
    </row>
    <row r="53" spans="1:9" x14ac:dyDescent="0.25">
      <c r="A53" t="s">
        <v>195</v>
      </c>
      <c r="B53" s="1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  <c r="I53">
        <v>1051</v>
      </c>
    </row>
    <row r="54" spans="1:9" x14ac:dyDescent="0.25">
      <c r="A54" t="s">
        <v>198</v>
      </c>
      <c r="B54" s="12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  <c r="I54">
        <v>1052</v>
      </c>
    </row>
    <row r="55" spans="1:9" x14ac:dyDescent="0.25">
      <c r="A55" t="s">
        <v>202</v>
      </c>
      <c r="B55" s="13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  <c r="I55">
        <v>1053</v>
      </c>
    </row>
    <row r="56" spans="1:9" x14ac:dyDescent="0.25">
      <c r="A56" t="s">
        <v>205</v>
      </c>
      <c r="B56" s="12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  <c r="I56">
        <v>1054</v>
      </c>
    </row>
    <row r="57" spans="1:9" x14ac:dyDescent="0.25">
      <c r="A57" t="s">
        <v>208</v>
      </c>
      <c r="B57" s="13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  <c r="I57">
        <v>1055</v>
      </c>
    </row>
    <row r="58" spans="1:9" x14ac:dyDescent="0.25">
      <c r="A58" t="s">
        <v>211</v>
      </c>
      <c r="B58" s="12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  <c r="I58">
        <v>1056</v>
      </c>
    </row>
    <row r="59" spans="1:9" x14ac:dyDescent="0.25">
      <c r="A59" t="s">
        <v>214</v>
      </c>
      <c r="B59" s="13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  <c r="I59">
        <v>1057</v>
      </c>
    </row>
    <row r="60" spans="1:9" x14ac:dyDescent="0.25">
      <c r="A60" t="s">
        <v>218</v>
      </c>
      <c r="B60" s="12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  <c r="I60">
        <v>1058</v>
      </c>
    </row>
    <row r="61" spans="1:9" x14ac:dyDescent="0.25">
      <c r="A61" t="s">
        <v>221</v>
      </c>
      <c r="B61" s="13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  <c r="I61">
        <v>1059</v>
      </c>
    </row>
    <row r="62" spans="1:9" x14ac:dyDescent="0.25">
      <c r="A62" t="s">
        <v>224</v>
      </c>
      <c r="B62" s="1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  <c r="I62">
        <v>1060</v>
      </c>
    </row>
    <row r="63" spans="1:9" x14ac:dyDescent="0.25">
      <c r="A63" t="s">
        <v>227</v>
      </c>
      <c r="B63" s="1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  <c r="I63">
        <v>1061</v>
      </c>
    </row>
    <row r="64" spans="1:9" x14ac:dyDescent="0.25">
      <c r="A64" t="s">
        <v>230</v>
      </c>
      <c r="B64" s="12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  <c r="I64">
        <v>1062</v>
      </c>
    </row>
    <row r="65" spans="1:9" x14ac:dyDescent="0.25">
      <c r="A65" t="s">
        <v>234</v>
      </c>
      <c r="B65" s="13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  <c r="I65">
        <v>1063</v>
      </c>
    </row>
    <row r="66" spans="1:9" x14ac:dyDescent="0.25">
      <c r="A66" t="s">
        <v>238</v>
      </c>
      <c r="B66" s="12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  <c r="I66">
        <v>1064</v>
      </c>
    </row>
    <row r="67" spans="1:9" x14ac:dyDescent="0.25">
      <c r="A67" t="s">
        <v>241</v>
      </c>
      <c r="B67" s="13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  <c r="I67">
        <v>1065</v>
      </c>
    </row>
    <row r="68" spans="1:9" x14ac:dyDescent="0.25">
      <c r="A68" t="s">
        <v>244</v>
      </c>
      <c r="B68" s="12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  <c r="I68">
        <v>1066</v>
      </c>
    </row>
    <row r="69" spans="1:9" x14ac:dyDescent="0.25">
      <c r="A69" t="s">
        <v>247</v>
      </c>
      <c r="B69" s="13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  <c r="I69">
        <v>1067</v>
      </c>
    </row>
    <row r="70" spans="1:9" x14ac:dyDescent="0.25">
      <c r="A70" t="s">
        <v>251</v>
      </c>
      <c r="B70" s="12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  <c r="I70">
        <v>1068</v>
      </c>
    </row>
    <row r="71" spans="1:9" x14ac:dyDescent="0.25">
      <c r="A71" t="s">
        <v>255</v>
      </c>
      <c r="B71" s="13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  <c r="I71">
        <v>1069</v>
      </c>
    </row>
    <row r="72" spans="1:9" x14ac:dyDescent="0.25">
      <c r="A72" t="s">
        <v>258</v>
      </c>
      <c r="B72" s="1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  <c r="I72">
        <v>1070</v>
      </c>
    </row>
    <row r="73" spans="1:9" x14ac:dyDescent="0.25">
      <c r="A73" t="s">
        <v>261</v>
      </c>
      <c r="B73" s="1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  <c r="I73">
        <v>1071</v>
      </c>
    </row>
    <row r="74" spans="1:9" x14ac:dyDescent="0.25">
      <c r="A74" t="s">
        <v>264</v>
      </c>
      <c r="B74" s="12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  <c r="I74">
        <v>1072</v>
      </c>
    </row>
    <row r="75" spans="1:9" x14ac:dyDescent="0.25">
      <c r="A75" t="s">
        <v>268</v>
      </c>
      <c r="B75" s="13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  <c r="I75">
        <v>1073</v>
      </c>
    </row>
    <row r="76" spans="1:9" x14ac:dyDescent="0.25">
      <c r="A76" t="s">
        <v>271</v>
      </c>
      <c r="B76" s="12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  <c r="I76">
        <v>1074</v>
      </c>
    </row>
    <row r="77" spans="1:9" x14ac:dyDescent="0.25">
      <c r="A77" t="s">
        <v>275</v>
      </c>
      <c r="B77" s="13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  <c r="I77">
        <v>1075</v>
      </c>
    </row>
    <row r="78" spans="1:9" x14ac:dyDescent="0.25">
      <c r="A78" t="s">
        <v>278</v>
      </c>
      <c r="B78" s="12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  <c r="I78">
        <v>1076</v>
      </c>
    </row>
    <row r="79" spans="1:9" x14ac:dyDescent="0.25">
      <c r="A79" t="s">
        <v>281</v>
      </c>
      <c r="B79" s="13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  <c r="I79">
        <v>1077</v>
      </c>
    </row>
    <row r="80" spans="1:9" x14ac:dyDescent="0.25">
      <c r="A80" t="s">
        <v>284</v>
      </c>
      <c r="B80" s="12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  <c r="I80">
        <v>1078</v>
      </c>
    </row>
    <row r="81" spans="1:9" x14ac:dyDescent="0.25">
      <c r="A81" t="s">
        <v>288</v>
      </c>
      <c r="B81" s="13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  <c r="I81">
        <v>1079</v>
      </c>
    </row>
    <row r="82" spans="1:9" x14ac:dyDescent="0.25">
      <c r="A82" t="s">
        <v>292</v>
      </c>
      <c r="B82" s="1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  <c r="I82">
        <v>1080</v>
      </c>
    </row>
    <row r="83" spans="1:9" x14ac:dyDescent="0.25">
      <c r="A83" t="s">
        <v>295</v>
      </c>
      <c r="B83" s="1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  <c r="I83">
        <v>1081</v>
      </c>
    </row>
    <row r="84" spans="1:9" x14ac:dyDescent="0.25">
      <c r="A84" t="s">
        <v>298</v>
      </c>
      <c r="B84" s="12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  <c r="I84">
        <v>1082</v>
      </c>
    </row>
    <row r="85" spans="1:9" x14ac:dyDescent="0.25">
      <c r="A85" t="s">
        <v>301</v>
      </c>
      <c r="B85" s="13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  <c r="I85">
        <v>1083</v>
      </c>
    </row>
    <row r="86" spans="1:9" x14ac:dyDescent="0.25">
      <c r="A86" t="s">
        <v>304</v>
      </c>
      <c r="B86" s="12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  <c r="I86">
        <v>1084</v>
      </c>
    </row>
    <row r="87" spans="1:9" x14ac:dyDescent="0.25">
      <c r="A87" t="s">
        <v>307</v>
      </c>
      <c r="B87" s="13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  <c r="I87">
        <v>1085</v>
      </c>
    </row>
    <row r="88" spans="1:9" x14ac:dyDescent="0.25">
      <c r="A88" t="s">
        <v>310</v>
      </c>
      <c r="B88" s="12" t="s">
        <v>1558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  <c r="I88">
        <v>1086</v>
      </c>
    </row>
    <row r="89" spans="1:9" x14ac:dyDescent="0.25">
      <c r="A89" t="s">
        <v>314</v>
      </c>
      <c r="B89" s="13" t="s">
        <v>1559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  <c r="I89">
        <v>1087</v>
      </c>
    </row>
    <row r="90" spans="1:9" x14ac:dyDescent="0.25">
      <c r="A90" t="s">
        <v>318</v>
      </c>
      <c r="B90" s="12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  <c r="I90">
        <v>1088</v>
      </c>
    </row>
    <row r="91" spans="1:9" x14ac:dyDescent="0.25">
      <c r="A91" t="s">
        <v>321</v>
      </c>
      <c r="B91" s="13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  <c r="I91">
        <v>1089</v>
      </c>
    </row>
    <row r="92" spans="1:9" x14ac:dyDescent="0.25">
      <c r="A92" t="s">
        <v>325</v>
      </c>
      <c r="B92" s="1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  <c r="I92">
        <v>1090</v>
      </c>
    </row>
    <row r="93" spans="1:9" x14ac:dyDescent="0.25">
      <c r="A93" t="s">
        <v>329</v>
      </c>
      <c r="B93" s="1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  <c r="I93">
        <v>1091</v>
      </c>
    </row>
    <row r="94" spans="1:9" x14ac:dyDescent="0.25">
      <c r="A94" t="s">
        <v>332</v>
      </c>
      <c r="B94" s="12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  <c r="I94">
        <v>1092</v>
      </c>
    </row>
    <row r="95" spans="1:9" x14ac:dyDescent="0.25">
      <c r="A95" t="s">
        <v>335</v>
      </c>
      <c r="B95" s="13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  <c r="I95">
        <v>1093</v>
      </c>
    </row>
    <row r="96" spans="1:9" x14ac:dyDescent="0.25">
      <c r="A96" t="s">
        <v>338</v>
      </c>
      <c r="B96" s="12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  <c r="I96">
        <v>1094</v>
      </c>
    </row>
    <row r="97" spans="1:9" x14ac:dyDescent="0.25">
      <c r="A97" t="s">
        <v>341</v>
      </c>
      <c r="B97" s="13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  <c r="I97">
        <v>1095</v>
      </c>
    </row>
    <row r="98" spans="1:9" x14ac:dyDescent="0.25">
      <c r="A98" t="s">
        <v>344</v>
      </c>
      <c r="B98" s="12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  <c r="I98">
        <v>1096</v>
      </c>
    </row>
    <row r="99" spans="1:9" x14ac:dyDescent="0.25">
      <c r="A99" t="s">
        <v>347</v>
      </c>
      <c r="B99" s="13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  <c r="I99">
        <v>1097</v>
      </c>
    </row>
    <row r="100" spans="1:9" x14ac:dyDescent="0.25">
      <c r="A100" t="s">
        <v>350</v>
      </c>
      <c r="B100" s="12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  <c r="I100">
        <v>1098</v>
      </c>
    </row>
    <row r="101" spans="1:9" x14ac:dyDescent="0.25">
      <c r="A101" t="s">
        <v>353</v>
      </c>
      <c r="B101" s="13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  <c r="I101">
        <v>1099</v>
      </c>
    </row>
    <row r="102" spans="1:9" x14ac:dyDescent="0.25">
      <c r="A102" t="s">
        <v>356</v>
      </c>
      <c r="B102" s="1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  <c r="I102">
        <v>1100</v>
      </c>
    </row>
    <row r="103" spans="1:9" x14ac:dyDescent="0.25">
      <c r="A103" t="s">
        <v>360</v>
      </c>
      <c r="B103" s="1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  <c r="I103">
        <v>1101</v>
      </c>
    </row>
    <row r="104" spans="1:9" x14ac:dyDescent="0.25">
      <c r="A104" t="s">
        <v>363</v>
      </c>
      <c r="B104" s="12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  <c r="I104">
        <v>1102</v>
      </c>
    </row>
    <row r="105" spans="1:9" x14ac:dyDescent="0.25">
      <c r="A105" t="s">
        <v>366</v>
      </c>
      <c r="B105" s="13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  <c r="I105">
        <v>1103</v>
      </c>
    </row>
    <row r="106" spans="1:9" x14ac:dyDescent="0.25">
      <c r="A106" t="s">
        <v>369</v>
      </c>
      <c r="B106" s="12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  <c r="I106">
        <v>1104</v>
      </c>
    </row>
    <row r="107" spans="1:9" x14ac:dyDescent="0.25">
      <c r="A107" t="s">
        <v>372</v>
      </c>
      <c r="B107" s="13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  <c r="I107">
        <v>1105</v>
      </c>
    </row>
    <row r="108" spans="1:9" x14ac:dyDescent="0.25">
      <c r="A108" t="s">
        <v>375</v>
      </c>
      <c r="B108" s="12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  <c r="I108">
        <v>1106</v>
      </c>
    </row>
    <row r="109" spans="1:9" x14ac:dyDescent="0.25">
      <c r="A109" t="s">
        <v>378</v>
      </c>
      <c r="B109" s="13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  <c r="I109">
        <v>1107</v>
      </c>
    </row>
    <row r="110" spans="1:9" x14ac:dyDescent="0.25">
      <c r="A110" t="s">
        <v>381</v>
      </c>
      <c r="B110" s="12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  <c r="I110">
        <v>1108</v>
      </c>
    </row>
    <row r="111" spans="1:9" x14ac:dyDescent="0.25">
      <c r="A111" t="s">
        <v>384</v>
      </c>
      <c r="B111" s="13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  <c r="I111">
        <v>1109</v>
      </c>
    </row>
    <row r="112" spans="1:9" x14ac:dyDescent="0.25">
      <c r="A112" t="s">
        <v>387</v>
      </c>
      <c r="B112" s="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  <c r="I112">
        <v>1110</v>
      </c>
    </row>
    <row r="113" spans="1:9" x14ac:dyDescent="0.25">
      <c r="A113" t="s">
        <v>390</v>
      </c>
      <c r="B113" s="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  <c r="I113">
        <v>1111</v>
      </c>
    </row>
    <row r="114" spans="1:9" x14ac:dyDescent="0.25">
      <c r="A114" t="s">
        <v>393</v>
      </c>
      <c r="B114" s="12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  <c r="I114">
        <v>1112</v>
      </c>
    </row>
    <row r="115" spans="1:9" x14ac:dyDescent="0.25">
      <c r="A115" t="s">
        <v>396</v>
      </c>
      <c r="B115" s="13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  <c r="I115">
        <v>1113</v>
      </c>
    </row>
    <row r="116" spans="1:9" x14ac:dyDescent="0.25">
      <c r="A116" t="s">
        <v>399</v>
      </c>
      <c r="B116" s="12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  <c r="I116">
        <v>1114</v>
      </c>
    </row>
    <row r="117" spans="1:9" x14ac:dyDescent="0.25">
      <c r="A117" t="s">
        <v>402</v>
      </c>
      <c r="B117" s="13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  <c r="I117">
        <v>1115</v>
      </c>
    </row>
    <row r="118" spans="1:9" x14ac:dyDescent="0.25">
      <c r="A118" t="s">
        <v>405</v>
      </c>
      <c r="B118" s="12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  <c r="I118">
        <v>1116</v>
      </c>
    </row>
    <row r="119" spans="1:9" x14ac:dyDescent="0.25">
      <c r="A119" t="s">
        <v>408</v>
      </c>
      <c r="B119" s="13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  <c r="I119">
        <v>1117</v>
      </c>
    </row>
    <row r="120" spans="1:9" x14ac:dyDescent="0.25">
      <c r="A120" t="s">
        <v>411</v>
      </c>
      <c r="B120" s="12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  <c r="I120">
        <v>1118</v>
      </c>
    </row>
    <row r="121" spans="1:9" x14ac:dyDescent="0.25">
      <c r="A121" t="s">
        <v>414</v>
      </c>
      <c r="B121" s="13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  <c r="I121">
        <v>1119</v>
      </c>
    </row>
    <row r="122" spans="1:9" x14ac:dyDescent="0.25">
      <c r="A122" t="s">
        <v>417</v>
      </c>
      <c r="B122" s="12" t="s">
        <v>418</v>
      </c>
      <c r="C122">
        <v>44</v>
      </c>
      <c r="D122" t="s">
        <v>16</v>
      </c>
      <c r="E122" t="s">
        <v>1536</v>
      </c>
      <c r="F122" t="s">
        <v>51</v>
      </c>
      <c r="G122" t="s">
        <v>12</v>
      </c>
      <c r="H122" t="s">
        <v>19</v>
      </c>
      <c r="I122">
        <v>1120</v>
      </c>
    </row>
    <row r="123" spans="1:9" x14ac:dyDescent="0.25">
      <c r="A123" t="s">
        <v>419</v>
      </c>
      <c r="B123" s="1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  <c r="I123">
        <v>1121</v>
      </c>
    </row>
    <row r="124" spans="1:9" x14ac:dyDescent="0.25">
      <c r="A124" t="s">
        <v>422</v>
      </c>
      <c r="B124" s="12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  <c r="I124">
        <v>1122</v>
      </c>
    </row>
    <row r="125" spans="1:9" x14ac:dyDescent="0.25">
      <c r="A125" t="s">
        <v>425</v>
      </c>
      <c r="B125" s="13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  <c r="I125">
        <v>1123</v>
      </c>
    </row>
    <row r="126" spans="1:9" x14ac:dyDescent="0.25">
      <c r="A126" t="s">
        <v>428</v>
      </c>
      <c r="B126" s="12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  <c r="I126">
        <v>1124</v>
      </c>
    </row>
    <row r="127" spans="1:9" x14ac:dyDescent="0.25">
      <c r="A127" t="s">
        <v>431</v>
      </c>
      <c r="B127" s="13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  <c r="I127">
        <v>1125</v>
      </c>
    </row>
    <row r="128" spans="1:9" x14ac:dyDescent="0.25">
      <c r="A128" t="s">
        <v>435</v>
      </c>
      <c r="B128" s="12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  <c r="I128">
        <v>1126</v>
      </c>
    </row>
    <row r="129" spans="1:9" x14ac:dyDescent="0.25">
      <c r="A129" t="s">
        <v>438</v>
      </c>
      <c r="B129" s="13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  <c r="I129">
        <v>1127</v>
      </c>
    </row>
    <row r="130" spans="1:9" x14ac:dyDescent="0.25">
      <c r="A130" t="s">
        <v>441</v>
      </c>
      <c r="B130" s="12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  <c r="I130">
        <v>1128</v>
      </c>
    </row>
    <row r="131" spans="1:9" x14ac:dyDescent="0.25">
      <c r="A131" t="s">
        <v>444</v>
      </c>
      <c r="B131" s="13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  <c r="I131">
        <v>1129</v>
      </c>
    </row>
    <row r="132" spans="1:9" x14ac:dyDescent="0.25">
      <c r="A132" t="s">
        <v>447</v>
      </c>
      <c r="B132" s="12" t="s">
        <v>448</v>
      </c>
      <c r="C132">
        <v>29</v>
      </c>
      <c r="D132" t="s">
        <v>9</v>
      </c>
      <c r="E132" t="s">
        <v>1537</v>
      </c>
      <c r="F132" t="s">
        <v>167</v>
      </c>
      <c r="G132" t="s">
        <v>1538</v>
      </c>
      <c r="H132" t="s">
        <v>19</v>
      </c>
      <c r="I132">
        <v>1130</v>
      </c>
    </row>
    <row r="133" spans="1:9" x14ac:dyDescent="0.25">
      <c r="A133" t="s">
        <v>449</v>
      </c>
      <c r="B133" s="1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  <c r="I133">
        <v>1131</v>
      </c>
    </row>
    <row r="134" spans="1:9" x14ac:dyDescent="0.25">
      <c r="A134" t="s">
        <v>452</v>
      </c>
      <c r="B134" s="12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  <c r="I134">
        <v>1132</v>
      </c>
    </row>
    <row r="135" spans="1:9" x14ac:dyDescent="0.25">
      <c r="A135" t="s">
        <v>455</v>
      </c>
      <c r="B135" s="13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  <c r="I135">
        <v>1133</v>
      </c>
    </row>
    <row r="136" spans="1:9" x14ac:dyDescent="0.25">
      <c r="A136" t="s">
        <v>458</v>
      </c>
      <c r="B136" s="12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  <c r="I136">
        <v>1134</v>
      </c>
    </row>
    <row r="137" spans="1:9" x14ac:dyDescent="0.25">
      <c r="A137" t="s">
        <v>461</v>
      </c>
      <c r="B137" s="13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  <c r="I137">
        <v>1135</v>
      </c>
    </row>
    <row r="138" spans="1:9" x14ac:dyDescent="0.25">
      <c r="A138" t="s">
        <v>464</v>
      </c>
      <c r="B138" s="12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  <c r="I138">
        <v>1136</v>
      </c>
    </row>
    <row r="139" spans="1:9" x14ac:dyDescent="0.25">
      <c r="A139" t="s">
        <v>467</v>
      </c>
      <c r="B139" s="13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  <c r="I139">
        <v>1137</v>
      </c>
    </row>
    <row r="140" spans="1:9" x14ac:dyDescent="0.25">
      <c r="A140" t="s">
        <v>470</v>
      </c>
      <c r="B140" s="12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  <c r="I140">
        <v>1138</v>
      </c>
    </row>
    <row r="141" spans="1:9" x14ac:dyDescent="0.25">
      <c r="A141" t="s">
        <v>472</v>
      </c>
      <c r="B141" s="13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  <c r="I141">
        <v>1139</v>
      </c>
    </row>
    <row r="142" spans="1:9" x14ac:dyDescent="0.25">
      <c r="A142" t="s">
        <v>475</v>
      </c>
      <c r="B142" s="1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  <c r="I142">
        <v>1140</v>
      </c>
    </row>
    <row r="143" spans="1:9" x14ac:dyDescent="0.25">
      <c r="A143" t="s">
        <v>478</v>
      </c>
      <c r="B143" s="1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1538</v>
      </c>
      <c r="H143" t="s">
        <v>26</v>
      </c>
      <c r="I143">
        <v>1141</v>
      </c>
    </row>
    <row r="144" spans="1:9" x14ac:dyDescent="0.25">
      <c r="A144" t="s">
        <v>481</v>
      </c>
      <c r="B144" s="12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  <c r="I144">
        <v>1142</v>
      </c>
    </row>
    <row r="145" spans="1:9" x14ac:dyDescent="0.25">
      <c r="A145" t="s">
        <v>484</v>
      </c>
      <c r="B145" s="13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  <c r="I145">
        <v>1143</v>
      </c>
    </row>
    <row r="146" spans="1:9" x14ac:dyDescent="0.25">
      <c r="A146" t="s">
        <v>487</v>
      </c>
      <c r="B146" s="12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  <c r="I146">
        <v>1144</v>
      </c>
    </row>
    <row r="147" spans="1:9" x14ac:dyDescent="0.25">
      <c r="A147" t="s">
        <v>490</v>
      </c>
      <c r="B147" s="13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  <c r="I147">
        <v>1145</v>
      </c>
    </row>
    <row r="148" spans="1:9" x14ac:dyDescent="0.25">
      <c r="A148" t="s">
        <v>493</v>
      </c>
      <c r="B148" s="12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  <c r="I148">
        <v>1146</v>
      </c>
    </row>
    <row r="149" spans="1:9" x14ac:dyDescent="0.25">
      <c r="A149" t="s">
        <v>496</v>
      </c>
      <c r="B149" s="13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  <c r="I149">
        <v>1147</v>
      </c>
    </row>
    <row r="150" spans="1:9" x14ac:dyDescent="0.25">
      <c r="A150" t="s">
        <v>499</v>
      </c>
      <c r="B150" s="12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  <c r="I150">
        <v>1148</v>
      </c>
    </row>
    <row r="151" spans="1:9" x14ac:dyDescent="0.25">
      <c r="A151" t="s">
        <v>502</v>
      </c>
      <c r="B151" s="13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  <c r="I151">
        <v>1149</v>
      </c>
    </row>
    <row r="152" spans="1:9" x14ac:dyDescent="0.25">
      <c r="A152" t="s">
        <v>505</v>
      </c>
      <c r="B152" s="1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  <c r="I152">
        <v>1150</v>
      </c>
    </row>
    <row r="153" spans="1:9" x14ac:dyDescent="0.25">
      <c r="A153" t="s">
        <v>508</v>
      </c>
      <c r="B153" s="1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  <c r="I153">
        <v>1151</v>
      </c>
    </row>
    <row r="154" spans="1:9" x14ac:dyDescent="0.25">
      <c r="A154" t="s">
        <v>511</v>
      </c>
      <c r="B154" s="12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  <c r="I154">
        <v>1152</v>
      </c>
    </row>
    <row r="155" spans="1:9" x14ac:dyDescent="0.25">
      <c r="A155" t="s">
        <v>514</v>
      </c>
      <c r="B155" s="13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  <c r="I155">
        <v>1153</v>
      </c>
    </row>
    <row r="156" spans="1:9" x14ac:dyDescent="0.25">
      <c r="A156" t="s">
        <v>517</v>
      </c>
      <c r="B156" s="12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  <c r="I156">
        <v>1154</v>
      </c>
    </row>
    <row r="157" spans="1:9" x14ac:dyDescent="0.25">
      <c r="A157" t="s">
        <v>520</v>
      </c>
      <c r="B157" s="13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  <c r="I157">
        <v>1155</v>
      </c>
    </row>
    <row r="158" spans="1:9" x14ac:dyDescent="0.25">
      <c r="A158" t="s">
        <v>523</v>
      </c>
      <c r="B158" s="12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  <c r="I158">
        <v>1156</v>
      </c>
    </row>
    <row r="159" spans="1:9" x14ac:dyDescent="0.25">
      <c r="A159" t="s">
        <v>526</v>
      </c>
      <c r="B159" s="13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  <c r="I159">
        <v>1157</v>
      </c>
    </row>
    <row r="160" spans="1:9" x14ac:dyDescent="0.25">
      <c r="A160" t="s">
        <v>529</v>
      </c>
      <c r="B160" s="12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  <c r="I160">
        <v>1158</v>
      </c>
    </row>
    <row r="161" spans="1:9" x14ac:dyDescent="0.25">
      <c r="A161" t="s">
        <v>532</v>
      </c>
      <c r="B161" s="13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  <c r="I161">
        <v>1159</v>
      </c>
    </row>
    <row r="162" spans="1:9" x14ac:dyDescent="0.25">
      <c r="A162" t="s">
        <v>535</v>
      </c>
      <c r="B162" s="1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  <c r="I162">
        <v>1160</v>
      </c>
    </row>
    <row r="163" spans="1:9" x14ac:dyDescent="0.25">
      <c r="A163" t="s">
        <v>538</v>
      </c>
      <c r="B163" s="1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  <c r="I163">
        <v>1161</v>
      </c>
    </row>
    <row r="164" spans="1:9" x14ac:dyDescent="0.25">
      <c r="A164" t="s">
        <v>541</v>
      </c>
      <c r="B164" s="12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1538</v>
      </c>
      <c r="H164" t="s">
        <v>31</v>
      </c>
      <c r="I164">
        <v>1162</v>
      </c>
    </row>
    <row r="165" spans="1:9" x14ac:dyDescent="0.25">
      <c r="A165" t="s">
        <v>544</v>
      </c>
      <c r="B165" s="13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  <c r="I165">
        <v>1163</v>
      </c>
    </row>
    <row r="166" spans="1:9" x14ac:dyDescent="0.25">
      <c r="A166" t="s">
        <v>547</v>
      </c>
      <c r="B166" s="12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  <c r="I166">
        <v>1164</v>
      </c>
    </row>
    <row r="167" spans="1:9" x14ac:dyDescent="0.25">
      <c r="A167" t="s">
        <v>550</v>
      </c>
      <c r="B167" s="13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  <c r="I167">
        <v>1165</v>
      </c>
    </row>
    <row r="168" spans="1:9" x14ac:dyDescent="0.25">
      <c r="A168" t="s">
        <v>553</v>
      </c>
      <c r="B168" s="12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  <c r="I168">
        <v>1166</v>
      </c>
    </row>
    <row r="169" spans="1:9" x14ac:dyDescent="0.25">
      <c r="A169" t="s">
        <v>556</v>
      </c>
      <c r="B169" s="13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  <c r="I169">
        <v>1167</v>
      </c>
    </row>
    <row r="170" spans="1:9" x14ac:dyDescent="0.25">
      <c r="A170" t="s">
        <v>559</v>
      </c>
      <c r="B170" s="12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  <c r="I170">
        <v>1168</v>
      </c>
    </row>
    <row r="171" spans="1:9" x14ac:dyDescent="0.25">
      <c r="A171" t="s">
        <v>562</v>
      </c>
      <c r="B171" s="13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  <c r="I171">
        <v>1169</v>
      </c>
    </row>
    <row r="172" spans="1:9" x14ac:dyDescent="0.25">
      <c r="A172" t="s">
        <v>565</v>
      </c>
      <c r="B172" s="12" t="s">
        <v>1568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  <c r="I172">
        <v>1170</v>
      </c>
    </row>
    <row r="173" spans="1:9" x14ac:dyDescent="0.25">
      <c r="A173" t="s">
        <v>568</v>
      </c>
      <c r="B173" s="1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  <c r="I173">
        <v>1171</v>
      </c>
    </row>
    <row r="174" spans="1:9" x14ac:dyDescent="0.25">
      <c r="A174" t="s">
        <v>571</v>
      </c>
      <c r="B174" s="12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  <c r="I174">
        <v>1172</v>
      </c>
    </row>
    <row r="175" spans="1:9" x14ac:dyDescent="0.25">
      <c r="A175" t="s">
        <v>574</v>
      </c>
      <c r="B175" s="13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1539</v>
      </c>
      <c r="H175" t="s">
        <v>19</v>
      </c>
      <c r="I175">
        <v>1173</v>
      </c>
    </row>
    <row r="176" spans="1:9" x14ac:dyDescent="0.25">
      <c r="A176" t="s">
        <v>576</v>
      </c>
      <c r="B176" s="12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  <c r="I176">
        <v>1174</v>
      </c>
    </row>
    <row r="177" spans="1:9" x14ac:dyDescent="0.25">
      <c r="A177" t="s">
        <v>579</v>
      </c>
      <c r="B177" s="13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  <c r="I177">
        <v>1175</v>
      </c>
    </row>
    <row r="178" spans="1:9" x14ac:dyDescent="0.25">
      <c r="A178" t="s">
        <v>582</v>
      </c>
      <c r="B178" s="12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  <c r="I178">
        <v>1176</v>
      </c>
    </row>
    <row r="179" spans="1:9" x14ac:dyDescent="0.25">
      <c r="A179" t="s">
        <v>585</v>
      </c>
      <c r="B179" s="13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  <c r="I179">
        <v>1177</v>
      </c>
    </row>
    <row r="180" spans="1:9" x14ac:dyDescent="0.25">
      <c r="A180" t="s">
        <v>589</v>
      </c>
      <c r="B180" s="12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  <c r="I180">
        <v>1178</v>
      </c>
    </row>
    <row r="181" spans="1:9" x14ac:dyDescent="0.25">
      <c r="A181" t="s">
        <v>592</v>
      </c>
      <c r="B181" s="13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  <c r="I181">
        <v>1179</v>
      </c>
    </row>
    <row r="182" spans="1:9" x14ac:dyDescent="0.25">
      <c r="A182" t="s">
        <v>595</v>
      </c>
      <c r="B182" s="1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  <c r="I182">
        <v>1180</v>
      </c>
    </row>
    <row r="183" spans="1:9" x14ac:dyDescent="0.25">
      <c r="A183" t="s">
        <v>598</v>
      </c>
      <c r="B183" s="1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  <c r="I183">
        <v>1181</v>
      </c>
    </row>
    <row r="184" spans="1:9" x14ac:dyDescent="0.25">
      <c r="A184" t="s">
        <v>601</v>
      </c>
      <c r="B184" s="12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  <c r="I184">
        <v>1182</v>
      </c>
    </row>
    <row r="185" spans="1:9" x14ac:dyDescent="0.25">
      <c r="A185" t="s">
        <v>604</v>
      </c>
      <c r="B185" s="13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  <c r="I185">
        <v>1183</v>
      </c>
    </row>
    <row r="186" spans="1:9" x14ac:dyDescent="0.25">
      <c r="A186" t="s">
        <v>607</v>
      </c>
      <c r="B186" s="12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  <c r="I186">
        <v>1184</v>
      </c>
    </row>
    <row r="187" spans="1:9" x14ac:dyDescent="0.25">
      <c r="A187" t="s">
        <v>610</v>
      </c>
      <c r="B187" s="13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  <c r="I187">
        <v>1185</v>
      </c>
    </row>
    <row r="188" spans="1:9" x14ac:dyDescent="0.25">
      <c r="A188" t="s">
        <v>613</v>
      </c>
      <c r="B188" s="12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  <c r="I188">
        <v>1186</v>
      </c>
    </row>
    <row r="189" spans="1:9" x14ac:dyDescent="0.25">
      <c r="A189" t="s">
        <v>616</v>
      </c>
      <c r="B189" s="13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  <c r="I189">
        <v>1187</v>
      </c>
    </row>
    <row r="190" spans="1:9" x14ac:dyDescent="0.25">
      <c r="A190" t="s">
        <v>619</v>
      </c>
      <c r="B190" s="12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  <c r="I190">
        <v>1188</v>
      </c>
    </row>
    <row r="191" spans="1:9" x14ac:dyDescent="0.25">
      <c r="A191" t="s">
        <v>622</v>
      </c>
      <c r="B191" s="13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  <c r="I191">
        <v>1189</v>
      </c>
    </row>
    <row r="192" spans="1:9" x14ac:dyDescent="0.25">
      <c r="A192" t="s">
        <v>625</v>
      </c>
      <c r="B192" s="1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  <c r="I192">
        <v>1190</v>
      </c>
    </row>
    <row r="193" spans="1:9" x14ac:dyDescent="0.25">
      <c r="A193" t="s">
        <v>628</v>
      </c>
      <c r="B193" s="1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  <c r="I193">
        <v>1191</v>
      </c>
    </row>
    <row r="194" spans="1:9" x14ac:dyDescent="0.25">
      <c r="A194" t="s">
        <v>631</v>
      </c>
      <c r="B194" s="12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  <c r="I194">
        <v>1192</v>
      </c>
    </row>
    <row r="195" spans="1:9" x14ac:dyDescent="0.25">
      <c r="A195" t="s">
        <v>634</v>
      </c>
      <c r="B195" s="13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  <c r="I195">
        <v>1193</v>
      </c>
    </row>
    <row r="196" spans="1:9" x14ac:dyDescent="0.25">
      <c r="A196" t="s">
        <v>637</v>
      </c>
      <c r="B196" s="12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  <c r="I196">
        <v>1194</v>
      </c>
    </row>
    <row r="197" spans="1:9" x14ac:dyDescent="0.25">
      <c r="A197" t="s">
        <v>640</v>
      </c>
      <c r="B197" s="13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  <c r="I197">
        <v>1195</v>
      </c>
    </row>
    <row r="198" spans="1:9" x14ac:dyDescent="0.25">
      <c r="A198" t="s">
        <v>643</v>
      </c>
      <c r="B198" s="12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  <c r="I198">
        <v>1196</v>
      </c>
    </row>
    <row r="199" spans="1:9" x14ac:dyDescent="0.25">
      <c r="A199" t="s">
        <v>646</v>
      </c>
      <c r="B199" s="13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  <c r="I199">
        <v>1197</v>
      </c>
    </row>
    <row r="200" spans="1:9" x14ac:dyDescent="0.25">
      <c r="A200" t="s">
        <v>648</v>
      </c>
      <c r="B200" s="12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  <c r="I200">
        <v>1198</v>
      </c>
    </row>
    <row r="201" spans="1:9" x14ac:dyDescent="0.25">
      <c r="A201" t="s">
        <v>651</v>
      </c>
      <c r="B201" s="13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  <c r="I201">
        <v>1199</v>
      </c>
    </row>
    <row r="202" spans="1:9" x14ac:dyDescent="0.25">
      <c r="A202" t="s">
        <v>654</v>
      </c>
      <c r="B202" s="1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  <c r="I202">
        <v>1200</v>
      </c>
    </row>
    <row r="203" spans="1:9" x14ac:dyDescent="0.25">
      <c r="A203" t="s">
        <v>657</v>
      </c>
      <c r="B203" s="1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  <c r="I203">
        <v>1201</v>
      </c>
    </row>
    <row r="204" spans="1:9" x14ac:dyDescent="0.25">
      <c r="A204" t="s">
        <v>660</v>
      </c>
      <c r="B204" s="12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  <c r="I204">
        <v>1202</v>
      </c>
    </row>
    <row r="205" spans="1:9" x14ac:dyDescent="0.25">
      <c r="A205" t="s">
        <v>663</v>
      </c>
      <c r="B205" s="13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  <c r="I205">
        <v>1203</v>
      </c>
    </row>
    <row r="206" spans="1:9" x14ac:dyDescent="0.25">
      <c r="A206" t="s">
        <v>666</v>
      </c>
      <c r="B206" s="12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  <c r="I206">
        <v>1204</v>
      </c>
    </row>
    <row r="207" spans="1:9" x14ac:dyDescent="0.25">
      <c r="A207" t="s">
        <v>669</v>
      </c>
      <c r="B207" s="13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  <c r="I207">
        <v>1205</v>
      </c>
    </row>
    <row r="208" spans="1:9" x14ac:dyDescent="0.25">
      <c r="A208" t="s">
        <v>672</v>
      </c>
      <c r="B208" s="12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  <c r="I208">
        <v>1206</v>
      </c>
    </row>
    <row r="209" spans="1:9" x14ac:dyDescent="0.25">
      <c r="A209" t="s">
        <v>675</v>
      </c>
      <c r="B209" s="13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  <c r="I209">
        <v>1207</v>
      </c>
    </row>
    <row r="210" spans="1:9" x14ac:dyDescent="0.25">
      <c r="A210" t="s">
        <v>678</v>
      </c>
      <c r="B210" s="12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  <c r="I210">
        <v>1208</v>
      </c>
    </row>
    <row r="211" spans="1:9" x14ac:dyDescent="0.25">
      <c r="A211" t="s">
        <v>681</v>
      </c>
      <c r="B211" s="13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  <c r="I211">
        <v>1209</v>
      </c>
    </row>
    <row r="212" spans="1:9" x14ac:dyDescent="0.25">
      <c r="A212" t="s">
        <v>684</v>
      </c>
      <c r="B212" s="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  <c r="I212">
        <v>1210</v>
      </c>
    </row>
    <row r="213" spans="1:9" x14ac:dyDescent="0.25">
      <c r="A213" t="s">
        <v>687</v>
      </c>
      <c r="B213" s="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  <c r="I213">
        <v>1211</v>
      </c>
    </row>
    <row r="214" spans="1:9" x14ac:dyDescent="0.25">
      <c r="A214" t="s">
        <v>690</v>
      </c>
      <c r="B214" s="12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  <c r="I214">
        <v>1212</v>
      </c>
    </row>
    <row r="215" spans="1:9" x14ac:dyDescent="0.25">
      <c r="A215" t="s">
        <v>693</v>
      </c>
      <c r="B215" s="13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  <c r="I215">
        <v>1213</v>
      </c>
    </row>
    <row r="216" spans="1:9" x14ac:dyDescent="0.25">
      <c r="A216" t="s">
        <v>696</v>
      </c>
      <c r="B216" s="12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  <c r="I216">
        <v>1214</v>
      </c>
    </row>
    <row r="217" spans="1:9" x14ac:dyDescent="0.25">
      <c r="A217" t="s">
        <v>699</v>
      </c>
      <c r="B217" s="13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  <c r="I217">
        <v>1215</v>
      </c>
    </row>
    <row r="218" spans="1:9" x14ac:dyDescent="0.25">
      <c r="A218" t="s">
        <v>702</v>
      </c>
      <c r="B218" s="12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  <c r="I218">
        <v>1216</v>
      </c>
    </row>
    <row r="219" spans="1:9" x14ac:dyDescent="0.25">
      <c r="A219" t="s">
        <v>705</v>
      </c>
      <c r="B219" s="13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  <c r="I219">
        <v>1217</v>
      </c>
    </row>
    <row r="220" spans="1:9" x14ac:dyDescent="0.25">
      <c r="A220" t="s">
        <v>708</v>
      </c>
      <c r="B220" s="12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  <c r="I220">
        <v>1218</v>
      </c>
    </row>
    <row r="221" spans="1:9" x14ac:dyDescent="0.25">
      <c r="A221" t="s">
        <v>711</v>
      </c>
      <c r="B221" s="13" t="s">
        <v>712</v>
      </c>
      <c r="C221">
        <v>47</v>
      </c>
      <c r="D221" t="s">
        <v>16</v>
      </c>
      <c r="E221" t="s">
        <v>1541</v>
      </c>
      <c r="F221" t="s">
        <v>88</v>
      </c>
      <c r="G221" t="s">
        <v>12</v>
      </c>
      <c r="H221" t="s">
        <v>13</v>
      </c>
      <c r="I221">
        <v>1219</v>
      </c>
    </row>
    <row r="222" spans="1:9" x14ac:dyDescent="0.25">
      <c r="A222" t="s">
        <v>713</v>
      </c>
      <c r="B222" s="12" t="s">
        <v>714</v>
      </c>
      <c r="C222">
        <v>50</v>
      </c>
      <c r="D222" t="s">
        <v>16</v>
      </c>
      <c r="E222" t="s">
        <v>1540</v>
      </c>
      <c r="F222" t="s">
        <v>715</v>
      </c>
      <c r="G222" t="s">
        <v>1539</v>
      </c>
      <c r="H222" t="s">
        <v>26</v>
      </c>
      <c r="I222">
        <v>1220</v>
      </c>
    </row>
    <row r="223" spans="1:9" x14ac:dyDescent="0.25">
      <c r="A223" t="s">
        <v>716</v>
      </c>
      <c r="B223" s="1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  <c r="I223">
        <v>1221</v>
      </c>
    </row>
    <row r="224" spans="1:9" x14ac:dyDescent="0.25">
      <c r="A224" t="s">
        <v>719</v>
      </c>
      <c r="B224" s="12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  <c r="I224">
        <v>1222</v>
      </c>
    </row>
    <row r="225" spans="1:9" x14ac:dyDescent="0.25">
      <c r="A225" t="s">
        <v>722</v>
      </c>
      <c r="B225" s="13" t="s">
        <v>723</v>
      </c>
      <c r="C225">
        <v>50</v>
      </c>
      <c r="D225" t="s">
        <v>9</v>
      </c>
      <c r="E225" t="s">
        <v>1542</v>
      </c>
      <c r="F225" t="s">
        <v>267</v>
      </c>
      <c r="G225" t="s">
        <v>12</v>
      </c>
      <c r="H225" t="s">
        <v>19</v>
      </c>
      <c r="I225">
        <v>1223</v>
      </c>
    </row>
    <row r="226" spans="1:9" x14ac:dyDescent="0.25">
      <c r="A226" t="s">
        <v>724</v>
      </c>
      <c r="B226" s="12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  <c r="I226">
        <v>1224</v>
      </c>
    </row>
    <row r="227" spans="1:9" x14ac:dyDescent="0.25">
      <c r="A227" t="s">
        <v>727</v>
      </c>
      <c r="B227" s="13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  <c r="I227">
        <v>1225</v>
      </c>
    </row>
    <row r="228" spans="1:9" x14ac:dyDescent="0.25">
      <c r="A228" t="s">
        <v>730</v>
      </c>
      <c r="B228" s="12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  <c r="I228">
        <v>1226</v>
      </c>
    </row>
    <row r="229" spans="1:9" x14ac:dyDescent="0.25">
      <c r="A229" t="s">
        <v>732</v>
      </c>
      <c r="B229" s="13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  <c r="I229">
        <v>1227</v>
      </c>
    </row>
    <row r="230" spans="1:9" x14ac:dyDescent="0.25">
      <c r="A230" t="s">
        <v>735</v>
      </c>
      <c r="B230" s="12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  <c r="I230">
        <v>1228</v>
      </c>
    </row>
    <row r="231" spans="1:9" x14ac:dyDescent="0.25">
      <c r="A231" t="s">
        <v>737</v>
      </c>
      <c r="B231" s="13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  <c r="I231">
        <v>1229</v>
      </c>
    </row>
    <row r="232" spans="1:9" x14ac:dyDescent="0.25">
      <c r="A232" t="s">
        <v>740</v>
      </c>
      <c r="B232" s="1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  <c r="I232">
        <v>1230</v>
      </c>
    </row>
    <row r="233" spans="1:9" x14ac:dyDescent="0.25">
      <c r="A233" t="s">
        <v>743</v>
      </c>
      <c r="B233" s="1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  <c r="I233">
        <v>1231</v>
      </c>
    </row>
    <row r="234" spans="1:9" x14ac:dyDescent="0.25">
      <c r="A234" t="s">
        <v>746</v>
      </c>
      <c r="B234" s="12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  <c r="I234">
        <v>1232</v>
      </c>
    </row>
    <row r="235" spans="1:9" x14ac:dyDescent="0.25">
      <c r="A235" t="s">
        <v>749</v>
      </c>
      <c r="B235" s="13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  <c r="I235">
        <v>1233</v>
      </c>
    </row>
    <row r="236" spans="1:9" x14ac:dyDescent="0.25">
      <c r="A236" t="s">
        <v>752</v>
      </c>
      <c r="B236" s="12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  <c r="I236">
        <v>1234</v>
      </c>
    </row>
    <row r="237" spans="1:9" x14ac:dyDescent="0.25">
      <c r="A237" t="s">
        <v>755</v>
      </c>
      <c r="B237" s="13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  <c r="I237">
        <v>1235</v>
      </c>
    </row>
    <row r="238" spans="1:9" x14ac:dyDescent="0.25">
      <c r="A238" t="s">
        <v>758</v>
      </c>
      <c r="B238" s="12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  <c r="I238">
        <v>1236</v>
      </c>
    </row>
    <row r="239" spans="1:9" x14ac:dyDescent="0.25">
      <c r="A239" t="s">
        <v>761</v>
      </c>
      <c r="B239" s="13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  <c r="I239">
        <v>1237</v>
      </c>
    </row>
    <row r="240" spans="1:9" x14ac:dyDescent="0.25">
      <c r="A240" t="s">
        <v>764</v>
      </c>
      <c r="B240" s="12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  <c r="I240">
        <v>1238</v>
      </c>
    </row>
    <row r="241" spans="1:9" x14ac:dyDescent="0.25">
      <c r="A241" t="s">
        <v>767</v>
      </c>
      <c r="B241" s="13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  <c r="I241">
        <v>1239</v>
      </c>
    </row>
    <row r="242" spans="1:9" x14ac:dyDescent="0.25">
      <c r="A242" t="s">
        <v>770</v>
      </c>
      <c r="B242" s="1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  <c r="I242">
        <v>1240</v>
      </c>
    </row>
    <row r="243" spans="1:9" x14ac:dyDescent="0.25">
      <c r="A243" t="s">
        <v>773</v>
      </c>
      <c r="B243" s="1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  <c r="I243">
        <v>1241</v>
      </c>
    </row>
    <row r="244" spans="1:9" x14ac:dyDescent="0.25">
      <c r="A244" t="s">
        <v>776</v>
      </c>
      <c r="B244" s="12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  <c r="I244">
        <v>1242</v>
      </c>
    </row>
    <row r="245" spans="1:9" x14ac:dyDescent="0.25">
      <c r="A245" t="s">
        <v>779</v>
      </c>
      <c r="B245" s="13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  <c r="I245">
        <v>1243</v>
      </c>
    </row>
    <row r="246" spans="1:9" x14ac:dyDescent="0.25">
      <c r="A246" t="s">
        <v>782</v>
      </c>
      <c r="B246" s="12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  <c r="I246">
        <v>1244</v>
      </c>
    </row>
    <row r="247" spans="1:9" x14ac:dyDescent="0.25">
      <c r="A247" t="s">
        <v>785</v>
      </c>
      <c r="B247" s="13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  <c r="I247">
        <v>1245</v>
      </c>
    </row>
    <row r="248" spans="1:9" x14ac:dyDescent="0.25">
      <c r="A248" t="s">
        <v>788</v>
      </c>
      <c r="B248" s="12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  <c r="I248">
        <v>1246</v>
      </c>
    </row>
    <row r="249" spans="1:9" x14ac:dyDescent="0.25">
      <c r="A249" t="s">
        <v>791</v>
      </c>
      <c r="B249" s="13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  <c r="I249">
        <v>1247</v>
      </c>
    </row>
    <row r="250" spans="1:9" x14ac:dyDescent="0.25">
      <c r="A250" t="s">
        <v>794</v>
      </c>
      <c r="B250" s="12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  <c r="I250">
        <v>1248</v>
      </c>
    </row>
    <row r="251" spans="1:9" x14ac:dyDescent="0.25">
      <c r="A251" t="s">
        <v>797</v>
      </c>
      <c r="B251" s="13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  <c r="I251">
        <v>1249</v>
      </c>
    </row>
    <row r="252" spans="1:9" x14ac:dyDescent="0.25">
      <c r="A252" t="s">
        <v>800</v>
      </c>
      <c r="B252" s="1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  <c r="I252">
        <v>1250</v>
      </c>
    </row>
    <row r="253" spans="1:9" x14ac:dyDescent="0.25">
      <c r="A253" t="s">
        <v>803</v>
      </c>
      <c r="B253" s="1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  <c r="I253">
        <v>1251</v>
      </c>
    </row>
    <row r="254" spans="1:9" x14ac:dyDescent="0.25">
      <c r="A254" t="s">
        <v>806</v>
      </c>
      <c r="B254" s="12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  <c r="I254">
        <v>1252</v>
      </c>
    </row>
    <row r="255" spans="1:9" x14ac:dyDescent="0.25">
      <c r="A255" t="s">
        <v>809</v>
      </c>
      <c r="B255" s="13" t="s">
        <v>1569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  <c r="I255">
        <v>1253</v>
      </c>
    </row>
    <row r="256" spans="1:9" x14ac:dyDescent="0.25">
      <c r="A256" t="s">
        <v>812</v>
      </c>
      <c r="B256" s="12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  <c r="I256">
        <v>1254</v>
      </c>
    </row>
    <row r="257" spans="1:9" x14ac:dyDescent="0.25">
      <c r="A257" t="s">
        <v>815</v>
      </c>
      <c r="B257" s="13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  <c r="I257">
        <v>1255</v>
      </c>
    </row>
    <row r="258" spans="1:9" x14ac:dyDescent="0.25">
      <c r="A258" t="s">
        <v>818</v>
      </c>
      <c r="B258" s="12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  <c r="I258">
        <v>1256</v>
      </c>
    </row>
    <row r="259" spans="1:9" x14ac:dyDescent="0.25">
      <c r="A259" t="s">
        <v>821</v>
      </c>
      <c r="B259" s="13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  <c r="I259">
        <v>1257</v>
      </c>
    </row>
    <row r="260" spans="1:9" x14ac:dyDescent="0.25">
      <c r="A260" t="s">
        <v>824</v>
      </c>
      <c r="B260" s="12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  <c r="I260">
        <v>1258</v>
      </c>
    </row>
    <row r="261" spans="1:9" x14ac:dyDescent="0.25">
      <c r="A261" t="s">
        <v>827</v>
      </c>
      <c r="B261" s="13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  <c r="I261">
        <v>1259</v>
      </c>
    </row>
    <row r="262" spans="1:9" x14ac:dyDescent="0.25">
      <c r="A262" t="s">
        <v>830</v>
      </c>
      <c r="B262" s="1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  <c r="I262">
        <v>1260</v>
      </c>
    </row>
    <row r="263" spans="1:9" x14ac:dyDescent="0.25">
      <c r="A263" t="s">
        <v>833</v>
      </c>
      <c r="B263" s="1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  <c r="I263">
        <v>1261</v>
      </c>
    </row>
    <row r="264" spans="1:9" x14ac:dyDescent="0.25">
      <c r="A264" t="s">
        <v>836</v>
      </c>
      <c r="B264" s="12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  <c r="I264">
        <v>1262</v>
      </c>
    </row>
    <row r="265" spans="1:9" x14ac:dyDescent="0.25">
      <c r="A265" t="s">
        <v>839</v>
      </c>
      <c r="B265" s="13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  <c r="I265">
        <v>1263</v>
      </c>
    </row>
    <row r="266" spans="1:9" x14ac:dyDescent="0.25">
      <c r="A266" t="s">
        <v>842</v>
      </c>
      <c r="B266" s="12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  <c r="I266">
        <v>1264</v>
      </c>
    </row>
    <row r="267" spans="1:9" x14ac:dyDescent="0.25">
      <c r="A267" t="s">
        <v>846</v>
      </c>
      <c r="B267" s="13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  <c r="I267">
        <v>1265</v>
      </c>
    </row>
    <row r="268" spans="1:9" x14ac:dyDescent="0.25">
      <c r="A268" t="s">
        <v>849</v>
      </c>
      <c r="B268" s="12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  <c r="I268">
        <v>1266</v>
      </c>
    </row>
    <row r="269" spans="1:9" x14ac:dyDescent="0.25">
      <c r="A269" t="s">
        <v>852</v>
      </c>
      <c r="B269" s="13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  <c r="I269">
        <v>1267</v>
      </c>
    </row>
    <row r="270" spans="1:9" x14ac:dyDescent="0.25">
      <c r="A270" t="s">
        <v>854</v>
      </c>
      <c r="B270" s="12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  <c r="I270">
        <v>1268</v>
      </c>
    </row>
    <row r="271" spans="1:9" x14ac:dyDescent="0.25">
      <c r="A271" t="s">
        <v>857</v>
      </c>
      <c r="B271" s="13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  <c r="I271">
        <v>1269</v>
      </c>
    </row>
    <row r="272" spans="1:9" x14ac:dyDescent="0.25">
      <c r="A272" t="s">
        <v>860</v>
      </c>
      <c r="B272" s="1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  <c r="I272">
        <v>1270</v>
      </c>
    </row>
    <row r="273" spans="1:9" x14ac:dyDescent="0.25">
      <c r="A273" t="s">
        <v>863</v>
      </c>
      <c r="B273" s="13" t="s">
        <v>1571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  <c r="I273">
        <v>1271</v>
      </c>
    </row>
    <row r="274" spans="1:9" x14ac:dyDescent="0.25">
      <c r="A274" t="s">
        <v>866</v>
      </c>
      <c r="B274" s="12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  <c r="I274">
        <v>1272</v>
      </c>
    </row>
    <row r="275" spans="1:9" x14ac:dyDescent="0.25">
      <c r="A275" t="s">
        <v>869</v>
      </c>
      <c r="B275" s="13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  <c r="I275">
        <v>1273</v>
      </c>
    </row>
    <row r="276" spans="1:9" x14ac:dyDescent="0.25">
      <c r="A276" t="s">
        <v>872</v>
      </c>
      <c r="B276" s="12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  <c r="I276">
        <v>1274</v>
      </c>
    </row>
    <row r="277" spans="1:9" x14ac:dyDescent="0.25">
      <c r="A277" t="s">
        <v>875</v>
      </c>
      <c r="B277" s="13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  <c r="I277">
        <v>1275</v>
      </c>
    </row>
    <row r="278" spans="1:9" x14ac:dyDescent="0.25">
      <c r="A278" t="s">
        <v>878</v>
      </c>
      <c r="B278" s="12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  <c r="I278">
        <v>1276</v>
      </c>
    </row>
    <row r="279" spans="1:9" x14ac:dyDescent="0.25">
      <c r="A279" t="s">
        <v>881</v>
      </c>
      <c r="B279" s="13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  <c r="I279">
        <v>1277</v>
      </c>
    </row>
    <row r="280" spans="1:9" x14ac:dyDescent="0.25">
      <c r="A280" t="s">
        <v>884</v>
      </c>
      <c r="B280" s="12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  <c r="I280">
        <v>1278</v>
      </c>
    </row>
    <row r="281" spans="1:9" x14ac:dyDescent="0.25">
      <c r="A281" t="s">
        <v>887</v>
      </c>
      <c r="B281" s="13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  <c r="I281">
        <v>1279</v>
      </c>
    </row>
    <row r="282" spans="1:9" x14ac:dyDescent="0.25">
      <c r="A282" t="s">
        <v>890</v>
      </c>
      <c r="B282" s="1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  <c r="I282">
        <v>1280</v>
      </c>
    </row>
    <row r="283" spans="1:9" x14ac:dyDescent="0.25">
      <c r="A283" t="s">
        <v>893</v>
      </c>
      <c r="B283" s="1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  <c r="I283">
        <v>1281</v>
      </c>
    </row>
    <row r="284" spans="1:9" x14ac:dyDescent="0.25">
      <c r="A284" t="s">
        <v>896</v>
      </c>
      <c r="B284" s="12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  <c r="I284">
        <v>1282</v>
      </c>
    </row>
    <row r="285" spans="1:9" x14ac:dyDescent="0.25">
      <c r="A285" t="s">
        <v>899</v>
      </c>
      <c r="B285" s="13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  <c r="I285">
        <v>1283</v>
      </c>
    </row>
    <row r="286" spans="1:9" x14ac:dyDescent="0.25">
      <c r="A286" t="s">
        <v>902</v>
      </c>
      <c r="B286" s="12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  <c r="I286">
        <v>1284</v>
      </c>
    </row>
    <row r="287" spans="1:9" x14ac:dyDescent="0.25">
      <c r="A287" t="s">
        <v>905</v>
      </c>
      <c r="B287" s="13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  <c r="I287">
        <v>1285</v>
      </c>
    </row>
    <row r="288" spans="1:9" x14ac:dyDescent="0.25">
      <c r="A288" t="s">
        <v>908</v>
      </c>
      <c r="B288" s="12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  <c r="I288">
        <v>1286</v>
      </c>
    </row>
    <row r="289" spans="1:9" x14ac:dyDescent="0.25">
      <c r="A289" t="s">
        <v>911</v>
      </c>
      <c r="B289" s="13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  <c r="I289">
        <v>1287</v>
      </c>
    </row>
    <row r="290" spans="1:9" x14ac:dyDescent="0.25">
      <c r="A290" t="s">
        <v>914</v>
      </c>
      <c r="B290" s="12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  <c r="I290">
        <v>1288</v>
      </c>
    </row>
    <row r="291" spans="1:9" x14ac:dyDescent="0.25">
      <c r="A291" t="s">
        <v>917</v>
      </c>
      <c r="B291" s="13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  <c r="I291">
        <v>1289</v>
      </c>
    </row>
    <row r="292" spans="1:9" x14ac:dyDescent="0.25">
      <c r="A292" t="s">
        <v>920</v>
      </c>
      <c r="B292" s="12" t="s">
        <v>1564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  <c r="I292">
        <v>1290</v>
      </c>
    </row>
    <row r="293" spans="1:9" x14ac:dyDescent="0.25">
      <c r="A293" t="s">
        <v>923</v>
      </c>
      <c r="B293" s="1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  <c r="I293">
        <v>1291</v>
      </c>
    </row>
    <row r="294" spans="1:9" x14ac:dyDescent="0.25">
      <c r="A294" t="s">
        <v>926</v>
      </c>
      <c r="B294" s="12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  <c r="I294">
        <v>1292</v>
      </c>
    </row>
    <row r="295" spans="1:9" x14ac:dyDescent="0.25">
      <c r="A295" t="s">
        <v>929</v>
      </c>
      <c r="B295" s="13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  <c r="I295">
        <v>1293</v>
      </c>
    </row>
    <row r="296" spans="1:9" x14ac:dyDescent="0.25">
      <c r="A296" t="s">
        <v>932</v>
      </c>
      <c r="B296" s="12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  <c r="I296">
        <v>1294</v>
      </c>
    </row>
    <row r="297" spans="1:9" x14ac:dyDescent="0.25">
      <c r="A297" t="s">
        <v>934</v>
      </c>
      <c r="B297" s="13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  <c r="I297">
        <v>1295</v>
      </c>
    </row>
    <row r="298" spans="1:9" x14ac:dyDescent="0.25">
      <c r="A298" t="s">
        <v>937</v>
      </c>
      <c r="B298" s="12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  <c r="I298">
        <v>1296</v>
      </c>
    </row>
    <row r="299" spans="1:9" x14ac:dyDescent="0.25">
      <c r="A299" t="s">
        <v>939</v>
      </c>
      <c r="B299" s="13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  <c r="I299">
        <v>1297</v>
      </c>
    </row>
    <row r="300" spans="1:9" x14ac:dyDescent="0.25">
      <c r="A300" t="s">
        <v>942</v>
      </c>
      <c r="B300" s="12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  <c r="I300">
        <v>1298</v>
      </c>
    </row>
    <row r="301" spans="1:9" x14ac:dyDescent="0.25">
      <c r="A301" t="s">
        <v>945</v>
      </c>
      <c r="B301" s="13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  <c r="I301">
        <v>1299</v>
      </c>
    </row>
    <row r="302" spans="1:9" x14ac:dyDescent="0.25">
      <c r="A302" t="s">
        <v>948</v>
      </c>
      <c r="B302" s="1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  <c r="I302">
        <v>1300</v>
      </c>
    </row>
    <row r="303" spans="1:9" x14ac:dyDescent="0.25">
      <c r="A303" t="s">
        <v>951</v>
      </c>
      <c r="B303" s="1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  <c r="I303">
        <v>1301</v>
      </c>
    </row>
    <row r="304" spans="1:9" x14ac:dyDescent="0.25">
      <c r="A304" t="s">
        <v>954</v>
      </c>
      <c r="B304" s="12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  <c r="I304">
        <v>1302</v>
      </c>
    </row>
    <row r="305" spans="1:9" x14ac:dyDescent="0.25">
      <c r="A305" t="s">
        <v>957</v>
      </c>
      <c r="B305" s="13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  <c r="I305">
        <v>1303</v>
      </c>
    </row>
    <row r="306" spans="1:9" x14ac:dyDescent="0.25">
      <c r="A306" t="s">
        <v>960</v>
      </c>
      <c r="B306" s="12" t="s">
        <v>1572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  <c r="I306">
        <v>1304</v>
      </c>
    </row>
    <row r="307" spans="1:9" x14ac:dyDescent="0.25">
      <c r="A307" t="s">
        <v>963</v>
      </c>
      <c r="B307" s="13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  <c r="I307">
        <v>1305</v>
      </c>
    </row>
    <row r="308" spans="1:9" x14ac:dyDescent="0.25">
      <c r="A308" t="s">
        <v>966</v>
      </c>
      <c r="B308" s="12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  <c r="I308">
        <v>1306</v>
      </c>
    </row>
    <row r="309" spans="1:9" x14ac:dyDescent="0.25">
      <c r="A309" t="s">
        <v>969</v>
      </c>
      <c r="B309" s="13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  <c r="I309">
        <v>1307</v>
      </c>
    </row>
    <row r="310" spans="1:9" x14ac:dyDescent="0.25">
      <c r="A310" t="s">
        <v>972</v>
      </c>
      <c r="B310" s="12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  <c r="I310">
        <v>1308</v>
      </c>
    </row>
    <row r="311" spans="1:9" x14ac:dyDescent="0.25">
      <c r="A311" t="s">
        <v>975</v>
      </c>
      <c r="B311" s="13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  <c r="I311">
        <v>1309</v>
      </c>
    </row>
    <row r="312" spans="1:9" x14ac:dyDescent="0.25">
      <c r="A312" t="s">
        <v>978</v>
      </c>
      <c r="B312" s="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  <c r="I312">
        <v>1310</v>
      </c>
    </row>
    <row r="313" spans="1:9" x14ac:dyDescent="0.25">
      <c r="A313" t="s">
        <v>981</v>
      </c>
      <c r="B313" s="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  <c r="I313">
        <v>1311</v>
      </c>
    </row>
    <row r="314" spans="1:9" x14ac:dyDescent="0.25">
      <c r="A314" t="s">
        <v>984</v>
      </c>
      <c r="B314" s="12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  <c r="I314">
        <v>1312</v>
      </c>
    </row>
    <row r="315" spans="1:9" x14ac:dyDescent="0.25">
      <c r="A315" t="s">
        <v>987</v>
      </c>
      <c r="B315" s="13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  <c r="I315">
        <v>1313</v>
      </c>
    </row>
    <row r="316" spans="1:9" x14ac:dyDescent="0.25">
      <c r="A316" t="s">
        <v>990</v>
      </c>
      <c r="B316" s="12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  <c r="I316">
        <v>1314</v>
      </c>
    </row>
    <row r="317" spans="1:9" x14ac:dyDescent="0.25">
      <c r="A317" t="s">
        <v>993</v>
      </c>
      <c r="B317" s="13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  <c r="I317">
        <v>1315</v>
      </c>
    </row>
    <row r="318" spans="1:9" x14ac:dyDescent="0.25">
      <c r="A318" t="s">
        <v>996</v>
      </c>
      <c r="B318" s="12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  <c r="I318">
        <v>1316</v>
      </c>
    </row>
    <row r="319" spans="1:9" x14ac:dyDescent="0.25">
      <c r="A319" t="s">
        <v>999</v>
      </c>
      <c r="B319" s="13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  <c r="I319">
        <v>1317</v>
      </c>
    </row>
    <row r="320" spans="1:9" x14ac:dyDescent="0.25">
      <c r="A320" t="s">
        <v>1002</v>
      </c>
      <c r="B320" s="12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  <c r="I320">
        <v>1318</v>
      </c>
    </row>
    <row r="321" spans="1:9" x14ac:dyDescent="0.25">
      <c r="A321" t="s">
        <v>1005</v>
      </c>
      <c r="B321" s="13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  <c r="I321">
        <v>1319</v>
      </c>
    </row>
    <row r="322" spans="1:9" x14ac:dyDescent="0.25">
      <c r="A322" t="s">
        <v>1008</v>
      </c>
      <c r="B322" s="1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  <c r="I322">
        <v>1320</v>
      </c>
    </row>
    <row r="323" spans="1:9" x14ac:dyDescent="0.25">
      <c r="A323" t="s">
        <v>1011</v>
      </c>
      <c r="B323" s="1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  <c r="I323">
        <v>1321</v>
      </c>
    </row>
    <row r="324" spans="1:9" x14ac:dyDescent="0.25">
      <c r="A324" t="s">
        <v>1014</v>
      </c>
      <c r="B324" s="12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  <c r="I324">
        <v>1322</v>
      </c>
    </row>
    <row r="325" spans="1:9" x14ac:dyDescent="0.25">
      <c r="A325" t="s">
        <v>1017</v>
      </c>
      <c r="B325" s="13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  <c r="I325">
        <v>1323</v>
      </c>
    </row>
    <row r="326" spans="1:9" x14ac:dyDescent="0.25">
      <c r="A326" t="s">
        <v>1020</v>
      </c>
      <c r="B326" s="12" t="s">
        <v>1573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  <c r="I326">
        <v>1324</v>
      </c>
    </row>
    <row r="327" spans="1:9" x14ac:dyDescent="0.25">
      <c r="A327" t="s">
        <v>1023</v>
      </c>
      <c r="B327" s="13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  <c r="I327">
        <v>1325</v>
      </c>
    </row>
    <row r="328" spans="1:9" x14ac:dyDescent="0.25">
      <c r="A328" t="s">
        <v>1026</v>
      </c>
      <c r="B328" s="12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  <c r="I328">
        <v>1326</v>
      </c>
    </row>
    <row r="329" spans="1:9" x14ac:dyDescent="0.25">
      <c r="A329" t="s">
        <v>1029</v>
      </c>
      <c r="B329" s="13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  <c r="I329">
        <v>1327</v>
      </c>
    </row>
    <row r="330" spans="1:9" x14ac:dyDescent="0.25">
      <c r="A330" t="s">
        <v>1032</v>
      </c>
      <c r="B330" s="12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  <c r="I330">
        <v>1328</v>
      </c>
    </row>
    <row r="331" spans="1:9" x14ac:dyDescent="0.25">
      <c r="A331" t="s">
        <v>1035</v>
      </c>
      <c r="B331" s="13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  <c r="I331">
        <v>1329</v>
      </c>
    </row>
    <row r="332" spans="1:9" x14ac:dyDescent="0.25">
      <c r="A332" t="s">
        <v>1038</v>
      </c>
      <c r="B332" s="1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  <c r="I332">
        <v>1330</v>
      </c>
    </row>
    <row r="333" spans="1:9" x14ac:dyDescent="0.25">
      <c r="A333" t="s">
        <v>1041</v>
      </c>
      <c r="B333" s="1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  <c r="I333">
        <v>1331</v>
      </c>
    </row>
    <row r="334" spans="1:9" x14ac:dyDescent="0.25">
      <c r="A334" t="s">
        <v>1044</v>
      </c>
      <c r="B334" s="12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  <c r="I334">
        <v>1332</v>
      </c>
    </row>
    <row r="335" spans="1:9" x14ac:dyDescent="0.25">
      <c r="A335" t="s">
        <v>1047</v>
      </c>
      <c r="B335" s="13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  <c r="I335">
        <v>1333</v>
      </c>
    </row>
    <row r="336" spans="1:9" x14ac:dyDescent="0.25">
      <c r="A336" t="s">
        <v>1050</v>
      </c>
      <c r="B336" s="12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  <c r="I336">
        <v>1334</v>
      </c>
    </row>
    <row r="337" spans="1:9" x14ac:dyDescent="0.25">
      <c r="A337" t="s">
        <v>1053</v>
      </c>
      <c r="B337" s="13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  <c r="I337">
        <v>1335</v>
      </c>
    </row>
    <row r="338" spans="1:9" x14ac:dyDescent="0.25">
      <c r="A338" t="s">
        <v>1056</v>
      </c>
      <c r="B338" s="12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  <c r="I338">
        <v>1336</v>
      </c>
    </row>
    <row r="339" spans="1:9" x14ac:dyDescent="0.25">
      <c r="A339" t="s">
        <v>1059</v>
      </c>
      <c r="B339" s="13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  <c r="I339">
        <v>1337</v>
      </c>
    </row>
    <row r="340" spans="1:9" x14ac:dyDescent="0.25">
      <c r="A340" t="s">
        <v>1062</v>
      </c>
      <c r="B340" s="12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  <c r="I340">
        <v>1338</v>
      </c>
    </row>
    <row r="341" spans="1:9" x14ac:dyDescent="0.25">
      <c r="A341" t="s">
        <v>1065</v>
      </c>
      <c r="B341" s="13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  <c r="I341">
        <v>1339</v>
      </c>
    </row>
    <row r="342" spans="1:9" x14ac:dyDescent="0.25">
      <c r="A342" t="s">
        <v>1068</v>
      </c>
      <c r="B342" s="1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  <c r="I342">
        <v>1340</v>
      </c>
    </row>
    <row r="343" spans="1:9" x14ac:dyDescent="0.25">
      <c r="A343" t="s">
        <v>1071</v>
      </c>
      <c r="B343" s="1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  <c r="I343">
        <v>1341</v>
      </c>
    </row>
    <row r="344" spans="1:9" x14ac:dyDescent="0.25">
      <c r="A344" t="s">
        <v>1074</v>
      </c>
      <c r="B344" s="12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  <c r="I344">
        <v>1342</v>
      </c>
    </row>
    <row r="345" spans="1:9" x14ac:dyDescent="0.25">
      <c r="A345" t="s">
        <v>1077</v>
      </c>
      <c r="B345" s="13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  <c r="I345">
        <v>1343</v>
      </c>
    </row>
    <row r="346" spans="1:9" x14ac:dyDescent="0.25">
      <c r="A346" t="s">
        <v>1080</v>
      </c>
      <c r="B346" s="12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  <c r="I346">
        <v>1344</v>
      </c>
    </row>
    <row r="347" spans="1:9" x14ac:dyDescent="0.25">
      <c r="A347" t="s">
        <v>1083</v>
      </c>
      <c r="B347" s="13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  <c r="I347">
        <v>1345</v>
      </c>
    </row>
    <row r="348" spans="1:9" x14ac:dyDescent="0.25">
      <c r="A348" t="s">
        <v>1086</v>
      </c>
      <c r="B348" s="12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  <c r="I348">
        <v>1346</v>
      </c>
    </row>
    <row r="349" spans="1:9" x14ac:dyDescent="0.25">
      <c r="A349" t="s">
        <v>1089</v>
      </c>
      <c r="B349" s="13" t="s">
        <v>1562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  <c r="I349">
        <v>1347</v>
      </c>
    </row>
    <row r="350" spans="1:9" x14ac:dyDescent="0.25">
      <c r="A350" t="s">
        <v>1092</v>
      </c>
      <c r="B350" s="12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  <c r="I350">
        <v>1348</v>
      </c>
    </row>
    <row r="351" spans="1:9" x14ac:dyDescent="0.25">
      <c r="A351" t="s">
        <v>1095</v>
      </c>
      <c r="B351" s="13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  <c r="I351">
        <v>1349</v>
      </c>
    </row>
    <row r="352" spans="1:9" x14ac:dyDescent="0.25">
      <c r="A352" t="s">
        <v>1098</v>
      </c>
      <c r="B352" s="1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  <c r="I352">
        <v>1350</v>
      </c>
    </row>
    <row r="353" spans="1:9" x14ac:dyDescent="0.25">
      <c r="A353" t="s">
        <v>1101</v>
      </c>
      <c r="B353" s="1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  <c r="I353">
        <v>1351</v>
      </c>
    </row>
    <row r="354" spans="1:9" x14ac:dyDescent="0.25">
      <c r="A354" t="s">
        <v>1104</v>
      </c>
      <c r="B354" s="12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  <c r="I354">
        <v>1352</v>
      </c>
    </row>
    <row r="355" spans="1:9" x14ac:dyDescent="0.25">
      <c r="A355" t="s">
        <v>1107</v>
      </c>
      <c r="B355" s="13" t="s">
        <v>1577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  <c r="I355">
        <v>1353</v>
      </c>
    </row>
    <row r="356" spans="1:9" x14ac:dyDescent="0.25">
      <c r="A356" t="s">
        <v>1109</v>
      </c>
      <c r="B356" s="12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  <c r="I356">
        <v>1354</v>
      </c>
    </row>
    <row r="357" spans="1:9" x14ac:dyDescent="0.25">
      <c r="A357" t="s">
        <v>1112</v>
      </c>
      <c r="B357" s="13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  <c r="I357">
        <v>1355</v>
      </c>
    </row>
    <row r="358" spans="1:9" x14ac:dyDescent="0.25">
      <c r="A358" t="s">
        <v>1115</v>
      </c>
      <c r="B358" s="12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  <c r="I358">
        <v>1356</v>
      </c>
    </row>
    <row r="359" spans="1:9" x14ac:dyDescent="0.25">
      <c r="A359" t="s">
        <v>1118</v>
      </c>
      <c r="B359" s="13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  <c r="I359">
        <v>1357</v>
      </c>
    </row>
    <row r="360" spans="1:9" x14ac:dyDescent="0.25">
      <c r="A360" t="s">
        <v>1121</v>
      </c>
      <c r="B360" s="12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  <c r="I360">
        <v>1358</v>
      </c>
    </row>
    <row r="361" spans="1:9" x14ac:dyDescent="0.25">
      <c r="A361" t="s">
        <v>1124</v>
      </c>
      <c r="B361" s="13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  <c r="I361">
        <v>1359</v>
      </c>
    </row>
    <row r="362" spans="1:9" x14ac:dyDescent="0.25">
      <c r="A362" t="s">
        <v>1127</v>
      </c>
      <c r="B362" s="1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  <c r="I362">
        <v>1360</v>
      </c>
    </row>
    <row r="363" spans="1:9" x14ac:dyDescent="0.25">
      <c r="A363" t="s">
        <v>1130</v>
      </c>
      <c r="B363" s="1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  <c r="I363">
        <v>1361</v>
      </c>
    </row>
    <row r="364" spans="1:9" x14ac:dyDescent="0.25">
      <c r="A364" t="s">
        <v>1133</v>
      </c>
      <c r="B364" s="12" t="s">
        <v>1566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  <c r="I364">
        <v>1362</v>
      </c>
    </row>
    <row r="365" spans="1:9" x14ac:dyDescent="0.25">
      <c r="A365" t="s">
        <v>1136</v>
      </c>
      <c r="B365" s="13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  <c r="I365">
        <v>1363</v>
      </c>
    </row>
    <row r="366" spans="1:9" x14ac:dyDescent="0.25">
      <c r="A366" t="s">
        <v>1139</v>
      </c>
      <c r="B366" s="12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  <c r="I366">
        <v>1364</v>
      </c>
    </row>
    <row r="367" spans="1:9" x14ac:dyDescent="0.25">
      <c r="A367" t="s">
        <v>1142</v>
      </c>
      <c r="B367" s="13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  <c r="I367">
        <v>1365</v>
      </c>
    </row>
    <row r="368" spans="1:9" x14ac:dyDescent="0.25">
      <c r="A368" t="s">
        <v>1145</v>
      </c>
      <c r="B368" s="12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  <c r="I368">
        <v>1366</v>
      </c>
    </row>
    <row r="369" spans="1:9" x14ac:dyDescent="0.25">
      <c r="A369" t="s">
        <v>1148</v>
      </c>
      <c r="B369" s="13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  <c r="I369">
        <v>1367</v>
      </c>
    </row>
    <row r="370" spans="1:9" x14ac:dyDescent="0.25">
      <c r="A370" t="s">
        <v>1151</v>
      </c>
      <c r="B370" s="12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  <c r="I370">
        <v>1368</v>
      </c>
    </row>
    <row r="371" spans="1:9" x14ac:dyDescent="0.25">
      <c r="A371" t="s">
        <v>1154</v>
      </c>
      <c r="B371" s="13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  <c r="I371">
        <v>1369</v>
      </c>
    </row>
    <row r="372" spans="1:9" x14ac:dyDescent="0.25">
      <c r="A372" t="s">
        <v>1157</v>
      </c>
      <c r="B372" s="1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  <c r="I372">
        <v>1370</v>
      </c>
    </row>
    <row r="373" spans="1:9" x14ac:dyDescent="0.25">
      <c r="A373" t="s">
        <v>1160</v>
      </c>
      <c r="B373" s="1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  <c r="I373">
        <v>1371</v>
      </c>
    </row>
    <row r="374" spans="1:9" x14ac:dyDescent="0.25">
      <c r="A374" t="s">
        <v>1163</v>
      </c>
      <c r="B374" s="12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  <c r="I374">
        <v>1372</v>
      </c>
    </row>
    <row r="375" spans="1:9" x14ac:dyDescent="0.25">
      <c r="A375" t="s">
        <v>1166</v>
      </c>
      <c r="B375" s="13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  <c r="I375">
        <v>1373</v>
      </c>
    </row>
    <row r="376" spans="1:9" x14ac:dyDescent="0.25">
      <c r="A376" t="s">
        <v>1169</v>
      </c>
      <c r="B376" s="12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  <c r="I376">
        <v>1374</v>
      </c>
    </row>
    <row r="377" spans="1:9" x14ac:dyDescent="0.25">
      <c r="A377" t="s">
        <v>1172</v>
      </c>
      <c r="B377" s="13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  <c r="I377">
        <v>1375</v>
      </c>
    </row>
    <row r="378" spans="1:9" x14ac:dyDescent="0.25">
      <c r="A378" t="s">
        <v>1175</v>
      </c>
      <c r="B378" s="12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  <c r="I378">
        <v>1376</v>
      </c>
    </row>
    <row r="379" spans="1:9" x14ac:dyDescent="0.25">
      <c r="A379" t="s">
        <v>1178</v>
      </c>
      <c r="B379" s="13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  <c r="I379">
        <v>1377</v>
      </c>
    </row>
    <row r="380" spans="1:9" x14ac:dyDescent="0.25">
      <c r="A380" t="s">
        <v>1181</v>
      </c>
      <c r="B380" s="12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  <c r="I380">
        <v>1378</v>
      </c>
    </row>
    <row r="381" spans="1:9" x14ac:dyDescent="0.25">
      <c r="A381" t="s">
        <v>1184</v>
      </c>
      <c r="B381" s="13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  <c r="I381">
        <v>1379</v>
      </c>
    </row>
    <row r="382" spans="1:9" x14ac:dyDescent="0.25">
      <c r="A382" t="s">
        <v>1187</v>
      </c>
      <c r="B382" s="1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  <c r="I382">
        <v>1380</v>
      </c>
    </row>
    <row r="383" spans="1:9" x14ac:dyDescent="0.25">
      <c r="A383" t="s">
        <v>1190</v>
      </c>
      <c r="B383" s="1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  <c r="I383">
        <v>1381</v>
      </c>
    </row>
    <row r="384" spans="1:9" x14ac:dyDescent="0.25">
      <c r="A384" t="s">
        <v>1193</v>
      </c>
      <c r="B384" s="12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  <c r="I384">
        <v>1382</v>
      </c>
    </row>
    <row r="385" spans="1:9" x14ac:dyDescent="0.25">
      <c r="A385" t="s">
        <v>1196</v>
      </c>
      <c r="B385" s="13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  <c r="I385">
        <v>1383</v>
      </c>
    </row>
    <row r="386" spans="1:9" x14ac:dyDescent="0.25">
      <c r="A386" t="s">
        <v>1199</v>
      </c>
      <c r="B386" s="12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  <c r="I386">
        <v>1384</v>
      </c>
    </row>
    <row r="387" spans="1:9" x14ac:dyDescent="0.25">
      <c r="A387" t="s">
        <v>1202</v>
      </c>
      <c r="B387" s="13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  <c r="I387">
        <v>1385</v>
      </c>
    </row>
    <row r="388" spans="1:9" x14ac:dyDescent="0.25">
      <c r="A388" t="s">
        <v>1205</v>
      </c>
      <c r="B388" s="12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  <c r="I388">
        <v>1386</v>
      </c>
    </row>
    <row r="389" spans="1:9" x14ac:dyDescent="0.25">
      <c r="A389" t="s">
        <v>1208</v>
      </c>
      <c r="B389" s="13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  <c r="I389">
        <v>1387</v>
      </c>
    </row>
    <row r="390" spans="1:9" x14ac:dyDescent="0.25">
      <c r="A390" t="s">
        <v>1211</v>
      </c>
      <c r="B390" s="12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  <c r="I390">
        <v>1388</v>
      </c>
    </row>
    <row r="391" spans="1:9" x14ac:dyDescent="0.25">
      <c r="A391" t="s">
        <v>1214</v>
      </c>
      <c r="B391" s="13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  <c r="I391">
        <v>1389</v>
      </c>
    </row>
    <row r="392" spans="1:9" x14ac:dyDescent="0.25">
      <c r="A392" t="s">
        <v>1217</v>
      </c>
      <c r="B392" s="1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  <c r="I392">
        <v>1390</v>
      </c>
    </row>
    <row r="393" spans="1:9" x14ac:dyDescent="0.25">
      <c r="A393" t="s">
        <v>1220</v>
      </c>
      <c r="B393" s="1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  <c r="I393">
        <v>1391</v>
      </c>
    </row>
    <row r="394" spans="1:9" x14ac:dyDescent="0.25">
      <c r="A394" t="s">
        <v>1223</v>
      </c>
      <c r="B394" s="12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  <c r="I394">
        <v>1392</v>
      </c>
    </row>
    <row r="395" spans="1:9" x14ac:dyDescent="0.25">
      <c r="A395" t="s">
        <v>1226</v>
      </c>
      <c r="B395" s="13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  <c r="I395">
        <v>1393</v>
      </c>
    </row>
    <row r="396" spans="1:9" x14ac:dyDescent="0.25">
      <c r="A396" t="s">
        <v>1229</v>
      </c>
      <c r="B396" s="12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  <c r="I396">
        <v>1394</v>
      </c>
    </row>
    <row r="397" spans="1:9" x14ac:dyDescent="0.25">
      <c r="A397" t="s">
        <v>1232</v>
      </c>
      <c r="B397" s="13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  <c r="I397">
        <v>1395</v>
      </c>
    </row>
    <row r="398" spans="1:9" x14ac:dyDescent="0.25">
      <c r="A398" t="s">
        <v>1235</v>
      </c>
      <c r="B398" s="12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  <c r="I398">
        <v>1396</v>
      </c>
    </row>
    <row r="399" spans="1:9" x14ac:dyDescent="0.25">
      <c r="A399" t="s">
        <v>1238</v>
      </c>
      <c r="B399" s="13" t="s">
        <v>1560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  <c r="I399">
        <v>1397</v>
      </c>
    </row>
    <row r="400" spans="1:9" x14ac:dyDescent="0.25">
      <c r="A400" t="s">
        <v>1240</v>
      </c>
      <c r="B400" s="12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  <c r="I400">
        <v>1398</v>
      </c>
    </row>
    <row r="401" spans="1:9" x14ac:dyDescent="0.25">
      <c r="A401" t="s">
        <v>1243</v>
      </c>
      <c r="B401" s="13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  <c r="I401">
        <v>1399</v>
      </c>
    </row>
    <row r="402" spans="1:9" x14ac:dyDescent="0.25">
      <c r="A402" t="s">
        <v>1246</v>
      </c>
      <c r="B402" s="1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  <c r="I402">
        <v>1400</v>
      </c>
    </row>
    <row r="403" spans="1:9" x14ac:dyDescent="0.25">
      <c r="A403" t="s">
        <v>1249</v>
      </c>
      <c r="B403" s="1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  <c r="I403">
        <v>1401</v>
      </c>
    </row>
    <row r="404" spans="1:9" x14ac:dyDescent="0.25">
      <c r="A404" t="s">
        <v>1252</v>
      </c>
      <c r="B404" s="12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  <c r="I404">
        <v>1402</v>
      </c>
    </row>
    <row r="405" spans="1:9" x14ac:dyDescent="0.25">
      <c r="A405" t="s">
        <v>1254</v>
      </c>
      <c r="B405" s="13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  <c r="I405">
        <v>1403</v>
      </c>
    </row>
    <row r="406" spans="1:9" x14ac:dyDescent="0.25">
      <c r="A406" t="s">
        <v>1257</v>
      </c>
      <c r="B406" s="12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  <c r="I406">
        <v>1404</v>
      </c>
    </row>
    <row r="407" spans="1:9" x14ac:dyDescent="0.25">
      <c r="A407" t="s">
        <v>1260</v>
      </c>
      <c r="B407" s="13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  <c r="I407">
        <v>1405</v>
      </c>
    </row>
    <row r="408" spans="1:9" x14ac:dyDescent="0.25">
      <c r="A408" t="s">
        <v>1263</v>
      </c>
      <c r="B408" s="12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  <c r="I408">
        <v>1406</v>
      </c>
    </row>
    <row r="409" spans="1:9" x14ac:dyDescent="0.25">
      <c r="A409" t="s">
        <v>1266</v>
      </c>
      <c r="B409" s="13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  <c r="I409">
        <v>1407</v>
      </c>
    </row>
    <row r="410" spans="1:9" x14ac:dyDescent="0.25">
      <c r="A410" t="s">
        <v>1269</v>
      </c>
      <c r="B410" s="12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  <c r="I410">
        <v>1408</v>
      </c>
    </row>
    <row r="411" spans="1:9" x14ac:dyDescent="0.25">
      <c r="A411" t="s">
        <v>1272</v>
      </c>
      <c r="B411" s="13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  <c r="I411">
        <v>1409</v>
      </c>
    </row>
    <row r="412" spans="1:9" x14ac:dyDescent="0.25">
      <c r="A412" t="s">
        <v>1275</v>
      </c>
      <c r="B412" s="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  <c r="I412">
        <v>1410</v>
      </c>
    </row>
    <row r="413" spans="1:9" x14ac:dyDescent="0.25">
      <c r="A413" t="s">
        <v>1278</v>
      </c>
      <c r="B413" s="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  <c r="I413">
        <v>1411</v>
      </c>
    </row>
    <row r="414" spans="1:9" x14ac:dyDescent="0.25">
      <c r="A414" t="s">
        <v>1281</v>
      </c>
      <c r="B414" s="12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  <c r="I414">
        <v>1412</v>
      </c>
    </row>
    <row r="415" spans="1:9" x14ac:dyDescent="0.25">
      <c r="A415" t="s">
        <v>1283</v>
      </c>
      <c r="B415" s="13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  <c r="I415">
        <v>1413</v>
      </c>
    </row>
    <row r="416" spans="1:9" x14ac:dyDescent="0.25">
      <c r="A416" t="s">
        <v>1286</v>
      </c>
      <c r="B416" s="12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  <c r="I416">
        <v>1414</v>
      </c>
    </row>
    <row r="417" spans="1:9" x14ac:dyDescent="0.25">
      <c r="A417" t="s">
        <v>1289</v>
      </c>
      <c r="B417" s="13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  <c r="I417">
        <v>1415</v>
      </c>
    </row>
    <row r="418" spans="1:9" x14ac:dyDescent="0.25">
      <c r="A418" t="s">
        <v>1292</v>
      </c>
      <c r="B418" s="12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  <c r="I418">
        <v>1416</v>
      </c>
    </row>
    <row r="419" spans="1:9" x14ac:dyDescent="0.25">
      <c r="A419" t="s">
        <v>1295</v>
      </c>
      <c r="B419" s="13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  <c r="I419">
        <v>1417</v>
      </c>
    </row>
    <row r="420" spans="1:9" x14ac:dyDescent="0.25">
      <c r="A420" t="s">
        <v>1298</v>
      </c>
      <c r="B420" s="12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  <c r="I420">
        <v>1418</v>
      </c>
    </row>
    <row r="421" spans="1:9" x14ac:dyDescent="0.25">
      <c r="A421" t="s">
        <v>1301</v>
      </c>
      <c r="B421" s="13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  <c r="I421">
        <v>1419</v>
      </c>
    </row>
    <row r="422" spans="1:9" x14ac:dyDescent="0.25">
      <c r="A422" t="s">
        <v>1304</v>
      </c>
      <c r="B422" s="12" t="s">
        <v>1567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  <c r="I422">
        <v>1420</v>
      </c>
    </row>
    <row r="423" spans="1:9" x14ac:dyDescent="0.25">
      <c r="A423" t="s">
        <v>1307</v>
      </c>
      <c r="B423" s="1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  <c r="I423">
        <v>1421</v>
      </c>
    </row>
    <row r="424" spans="1:9" x14ac:dyDescent="0.25">
      <c r="A424" t="s">
        <v>1310</v>
      </c>
      <c r="B424" s="12" t="s">
        <v>1557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  <c r="I424">
        <v>1422</v>
      </c>
    </row>
    <row r="425" spans="1:9" x14ac:dyDescent="0.25">
      <c r="A425" t="s">
        <v>1313</v>
      </c>
      <c r="B425" s="13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  <c r="I425">
        <v>1423</v>
      </c>
    </row>
    <row r="426" spans="1:9" x14ac:dyDescent="0.25">
      <c r="A426" t="s">
        <v>1316</v>
      </c>
      <c r="B426" s="12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  <c r="I426">
        <v>1424</v>
      </c>
    </row>
    <row r="427" spans="1:9" x14ac:dyDescent="0.25">
      <c r="A427" t="s">
        <v>1319</v>
      </c>
      <c r="B427" s="13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  <c r="I427">
        <v>1425</v>
      </c>
    </row>
    <row r="428" spans="1:9" x14ac:dyDescent="0.25">
      <c r="A428" t="s">
        <v>1322</v>
      </c>
      <c r="B428" s="12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  <c r="I428">
        <v>1426</v>
      </c>
    </row>
    <row r="429" spans="1:9" x14ac:dyDescent="0.25">
      <c r="A429" t="s">
        <v>1325</v>
      </c>
      <c r="B429" s="13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  <c r="I429">
        <v>1427</v>
      </c>
    </row>
    <row r="430" spans="1:9" x14ac:dyDescent="0.25">
      <c r="A430" t="s">
        <v>1328</v>
      </c>
      <c r="B430" s="12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  <c r="I430">
        <v>1428</v>
      </c>
    </row>
    <row r="431" spans="1:9" x14ac:dyDescent="0.25">
      <c r="A431" t="s">
        <v>1331</v>
      </c>
      <c r="B431" s="13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  <c r="I431">
        <v>1429</v>
      </c>
    </row>
    <row r="432" spans="1:9" x14ac:dyDescent="0.25">
      <c r="A432" t="s">
        <v>1334</v>
      </c>
      <c r="B432" s="1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  <c r="I432">
        <v>1430</v>
      </c>
    </row>
    <row r="433" spans="1:9" x14ac:dyDescent="0.25">
      <c r="A433" t="s">
        <v>1337</v>
      </c>
      <c r="B433" s="1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  <c r="I433">
        <v>1431</v>
      </c>
    </row>
    <row r="434" spans="1:9" x14ac:dyDescent="0.25">
      <c r="A434" t="s">
        <v>1340</v>
      </c>
      <c r="B434" s="12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  <c r="I434">
        <v>1432</v>
      </c>
    </row>
    <row r="435" spans="1:9" x14ac:dyDescent="0.25">
      <c r="A435" t="s">
        <v>1343</v>
      </c>
      <c r="B435" s="13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  <c r="I435">
        <v>1433</v>
      </c>
    </row>
    <row r="436" spans="1:9" x14ac:dyDescent="0.25">
      <c r="A436" t="s">
        <v>1346</v>
      </c>
      <c r="B436" s="12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  <c r="I436">
        <v>1434</v>
      </c>
    </row>
    <row r="437" spans="1:9" x14ac:dyDescent="0.25">
      <c r="A437" t="s">
        <v>1349</v>
      </c>
      <c r="B437" s="13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  <c r="I437">
        <v>1435</v>
      </c>
    </row>
    <row r="438" spans="1:9" x14ac:dyDescent="0.25">
      <c r="A438" t="s">
        <v>1352</v>
      </c>
      <c r="B438" s="12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  <c r="I438">
        <v>1436</v>
      </c>
    </row>
    <row r="439" spans="1:9" x14ac:dyDescent="0.25">
      <c r="A439" t="s">
        <v>1355</v>
      </c>
      <c r="B439" s="13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  <c r="I439">
        <v>1437</v>
      </c>
    </row>
    <row r="440" spans="1:9" x14ac:dyDescent="0.25">
      <c r="A440" t="s">
        <v>1357</v>
      </c>
      <c r="B440" s="12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  <c r="I440">
        <v>1438</v>
      </c>
    </row>
    <row r="441" spans="1:9" x14ac:dyDescent="0.25">
      <c r="A441" t="s">
        <v>1360</v>
      </c>
      <c r="B441" s="13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  <c r="I441">
        <v>1439</v>
      </c>
    </row>
    <row r="442" spans="1:9" x14ac:dyDescent="0.25">
      <c r="A442" t="s">
        <v>1362</v>
      </c>
      <c r="B442" s="1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  <c r="I442">
        <v>1440</v>
      </c>
    </row>
    <row r="443" spans="1:9" x14ac:dyDescent="0.25">
      <c r="A443" t="s">
        <v>1365</v>
      </c>
      <c r="B443" s="1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  <c r="I443">
        <v>1441</v>
      </c>
    </row>
    <row r="444" spans="1:9" x14ac:dyDescent="0.25">
      <c r="A444" t="s">
        <v>1368</v>
      </c>
      <c r="B444" s="12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  <c r="I444">
        <v>1442</v>
      </c>
    </row>
    <row r="445" spans="1:9" x14ac:dyDescent="0.25">
      <c r="A445" t="s">
        <v>1371</v>
      </c>
      <c r="B445" s="13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  <c r="I445">
        <v>1443</v>
      </c>
    </row>
    <row r="446" spans="1:9" x14ac:dyDescent="0.25">
      <c r="A446" t="s">
        <v>1374</v>
      </c>
      <c r="B446" s="12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  <c r="I446">
        <v>1444</v>
      </c>
    </row>
    <row r="447" spans="1:9" x14ac:dyDescent="0.25">
      <c r="A447" t="s">
        <v>1377</v>
      </c>
      <c r="B447" s="13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  <c r="I447">
        <v>1445</v>
      </c>
    </row>
    <row r="448" spans="1:9" x14ac:dyDescent="0.25">
      <c r="A448" t="s">
        <v>1380</v>
      </c>
      <c r="B448" s="12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  <c r="I448">
        <v>1446</v>
      </c>
    </row>
    <row r="449" spans="1:9" x14ac:dyDescent="0.25">
      <c r="A449" t="s">
        <v>1383</v>
      </c>
      <c r="B449" s="13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  <c r="I449">
        <v>1447</v>
      </c>
    </row>
    <row r="450" spans="1:9" x14ac:dyDescent="0.25">
      <c r="A450" t="s">
        <v>1386</v>
      </c>
      <c r="B450" s="12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  <c r="I450">
        <v>1448</v>
      </c>
    </row>
    <row r="451" spans="1:9" x14ac:dyDescent="0.25">
      <c r="A451" t="s">
        <v>1389</v>
      </c>
      <c r="B451" s="13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  <c r="I451">
        <v>1449</v>
      </c>
    </row>
    <row r="452" spans="1:9" x14ac:dyDescent="0.25">
      <c r="A452" t="s">
        <v>1392</v>
      </c>
      <c r="B452" s="1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  <c r="I452">
        <v>1450</v>
      </c>
    </row>
    <row r="453" spans="1:9" x14ac:dyDescent="0.25">
      <c r="A453" t="s">
        <v>1395</v>
      </c>
      <c r="B453" s="1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  <c r="I453">
        <v>1451</v>
      </c>
    </row>
    <row r="454" spans="1:9" x14ac:dyDescent="0.25">
      <c r="A454" t="s">
        <v>1397</v>
      </c>
      <c r="B454" s="12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  <c r="I454">
        <v>1452</v>
      </c>
    </row>
    <row r="455" spans="1:9" x14ac:dyDescent="0.25">
      <c r="A455" t="s">
        <v>1400</v>
      </c>
      <c r="B455" s="13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  <c r="I455">
        <v>1453</v>
      </c>
    </row>
    <row r="456" spans="1:9" x14ac:dyDescent="0.25">
      <c r="A456" t="s">
        <v>1403</v>
      </c>
      <c r="B456" s="12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  <c r="I456">
        <v>1454</v>
      </c>
    </row>
    <row r="457" spans="1:9" x14ac:dyDescent="0.25">
      <c r="A457" t="s">
        <v>1405</v>
      </c>
      <c r="B457" s="13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  <c r="I457">
        <v>1455</v>
      </c>
    </row>
    <row r="458" spans="1:9" x14ac:dyDescent="0.25">
      <c r="A458" t="s">
        <v>1408</v>
      </c>
      <c r="B458" s="12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  <c r="I458">
        <v>1456</v>
      </c>
    </row>
    <row r="459" spans="1:9" x14ac:dyDescent="0.25">
      <c r="A459" t="s">
        <v>1411</v>
      </c>
      <c r="B459" s="13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  <c r="I459">
        <v>1457</v>
      </c>
    </row>
    <row r="460" spans="1:9" x14ac:dyDescent="0.25">
      <c r="A460" t="s">
        <v>1414</v>
      </c>
      <c r="B460" s="12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  <c r="I460">
        <v>1458</v>
      </c>
    </row>
    <row r="461" spans="1:9" x14ac:dyDescent="0.25">
      <c r="A461" t="s">
        <v>1417</v>
      </c>
      <c r="B461" s="13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  <c r="I461">
        <v>1459</v>
      </c>
    </row>
    <row r="462" spans="1:9" x14ac:dyDescent="0.25">
      <c r="A462" t="s">
        <v>1419</v>
      </c>
      <c r="B462" s="1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  <c r="I462">
        <v>1460</v>
      </c>
    </row>
    <row r="463" spans="1:9" x14ac:dyDescent="0.25">
      <c r="A463" t="s">
        <v>1422</v>
      </c>
      <c r="B463" s="1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  <c r="I463">
        <v>1461</v>
      </c>
    </row>
    <row r="464" spans="1:9" x14ac:dyDescent="0.25">
      <c r="A464" t="s">
        <v>1425</v>
      </c>
      <c r="B464" s="12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  <c r="I464">
        <v>1462</v>
      </c>
    </row>
    <row r="465" spans="1:9" x14ac:dyDescent="0.25">
      <c r="A465" t="s">
        <v>1428</v>
      </c>
      <c r="B465" s="13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  <c r="I465">
        <v>1463</v>
      </c>
    </row>
    <row r="466" spans="1:9" x14ac:dyDescent="0.25">
      <c r="A466" t="s">
        <v>1431</v>
      </c>
      <c r="B466" s="12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  <c r="I466">
        <v>1464</v>
      </c>
    </row>
    <row r="467" spans="1:9" x14ac:dyDescent="0.25">
      <c r="A467" t="s">
        <v>1434</v>
      </c>
      <c r="B467" s="13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  <c r="I467">
        <v>1465</v>
      </c>
    </row>
    <row r="468" spans="1:9" x14ac:dyDescent="0.25">
      <c r="A468" t="s">
        <v>1437</v>
      </c>
      <c r="B468" s="12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  <c r="I468">
        <v>1466</v>
      </c>
    </row>
    <row r="469" spans="1:9" x14ac:dyDescent="0.25">
      <c r="A469" t="s">
        <v>1440</v>
      </c>
      <c r="B469" s="13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  <c r="I469">
        <v>1467</v>
      </c>
    </row>
    <row r="470" spans="1:9" x14ac:dyDescent="0.25">
      <c r="A470" t="s">
        <v>1443</v>
      </c>
      <c r="B470" s="12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  <c r="I470">
        <v>1468</v>
      </c>
    </row>
    <row r="471" spans="1:9" x14ac:dyDescent="0.25">
      <c r="A471" t="s">
        <v>1446</v>
      </c>
      <c r="B471" s="13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  <c r="I471">
        <v>1469</v>
      </c>
    </row>
    <row r="472" spans="1:9" x14ac:dyDescent="0.25">
      <c r="A472" t="s">
        <v>1449</v>
      </c>
      <c r="B472" s="1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  <c r="I472">
        <v>1470</v>
      </c>
    </row>
    <row r="473" spans="1:9" x14ac:dyDescent="0.25">
      <c r="A473" t="s">
        <v>1452</v>
      </c>
      <c r="B473" s="1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  <c r="I473">
        <v>1471</v>
      </c>
    </row>
    <row r="474" spans="1:9" x14ac:dyDescent="0.25">
      <c r="A474" t="s">
        <v>1455</v>
      </c>
      <c r="B474" s="12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  <c r="I474">
        <v>1472</v>
      </c>
    </row>
    <row r="475" spans="1:9" x14ac:dyDescent="0.25">
      <c r="A475" t="s">
        <v>1458</v>
      </c>
      <c r="B475" s="13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  <c r="I475">
        <v>1473</v>
      </c>
    </row>
    <row r="476" spans="1:9" x14ac:dyDescent="0.25">
      <c r="A476" t="s">
        <v>1461</v>
      </c>
      <c r="B476" s="12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  <c r="I476">
        <v>1474</v>
      </c>
    </row>
    <row r="477" spans="1:9" x14ac:dyDescent="0.25">
      <c r="A477" t="s">
        <v>1464</v>
      </c>
      <c r="B477" s="13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  <c r="I477">
        <v>1475</v>
      </c>
    </row>
    <row r="478" spans="1:9" x14ac:dyDescent="0.25">
      <c r="A478" t="s">
        <v>1466</v>
      </c>
      <c r="B478" s="12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  <c r="I478">
        <v>1476</v>
      </c>
    </row>
    <row r="479" spans="1:9" x14ac:dyDescent="0.25">
      <c r="A479" t="s">
        <v>1469</v>
      </c>
      <c r="B479" s="13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  <c r="I479">
        <v>1477</v>
      </c>
    </row>
    <row r="480" spans="1:9" x14ac:dyDescent="0.25">
      <c r="A480" t="s">
        <v>1472</v>
      </c>
      <c r="B480" s="12" t="s">
        <v>1575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  <c r="I480">
        <v>1478</v>
      </c>
    </row>
    <row r="481" spans="1:9" x14ac:dyDescent="0.25">
      <c r="A481" t="s">
        <v>1475</v>
      </c>
      <c r="B481" s="13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  <c r="I481">
        <v>1479</v>
      </c>
    </row>
    <row r="482" spans="1:9" x14ac:dyDescent="0.25">
      <c r="A482" t="s">
        <v>1478</v>
      </c>
      <c r="B482" s="1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  <c r="I482">
        <v>1480</v>
      </c>
    </row>
    <row r="483" spans="1:9" x14ac:dyDescent="0.25">
      <c r="A483" t="s">
        <v>1481</v>
      </c>
      <c r="B483" s="1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  <c r="I483">
        <v>1481</v>
      </c>
    </row>
    <row r="484" spans="1:9" x14ac:dyDescent="0.25">
      <c r="A484" t="s">
        <v>1484</v>
      </c>
      <c r="B484" s="12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  <c r="I484">
        <v>1482</v>
      </c>
    </row>
    <row r="485" spans="1:9" x14ac:dyDescent="0.25">
      <c r="A485" t="s">
        <v>1487</v>
      </c>
      <c r="B485" s="13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  <c r="I485">
        <v>1483</v>
      </c>
    </row>
    <row r="486" spans="1:9" x14ac:dyDescent="0.25">
      <c r="A486" t="s">
        <v>1489</v>
      </c>
      <c r="B486" s="12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  <c r="I486">
        <v>1484</v>
      </c>
    </row>
    <row r="487" spans="1:9" x14ac:dyDescent="0.25">
      <c r="A487" t="s">
        <v>1492</v>
      </c>
      <c r="B487" s="13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  <c r="I487">
        <v>1485</v>
      </c>
    </row>
    <row r="488" spans="1:9" x14ac:dyDescent="0.25">
      <c r="A488" t="s">
        <v>1495</v>
      </c>
      <c r="B488" s="12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  <c r="I488">
        <v>1486</v>
      </c>
    </row>
    <row r="489" spans="1:9" x14ac:dyDescent="0.25">
      <c r="A489" t="s">
        <v>1498</v>
      </c>
      <c r="B489" s="13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  <c r="I489">
        <v>1487</v>
      </c>
    </row>
    <row r="490" spans="1:9" x14ac:dyDescent="0.25">
      <c r="A490" t="s">
        <v>1501</v>
      </c>
      <c r="B490" s="12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  <c r="I490">
        <v>1488</v>
      </c>
    </row>
    <row r="491" spans="1:9" x14ac:dyDescent="0.25">
      <c r="A491" t="s">
        <v>1504</v>
      </c>
      <c r="B491" s="13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  <c r="I491">
        <v>1489</v>
      </c>
    </row>
    <row r="492" spans="1:9" x14ac:dyDescent="0.25">
      <c r="A492" t="s">
        <v>1507</v>
      </c>
      <c r="B492" s="1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  <c r="I492">
        <v>1490</v>
      </c>
    </row>
    <row r="493" spans="1:9" x14ac:dyDescent="0.25">
      <c r="A493" t="s">
        <v>1510</v>
      </c>
      <c r="B493" s="1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  <c r="I493">
        <v>1491</v>
      </c>
    </row>
    <row r="494" spans="1:9" x14ac:dyDescent="0.25">
      <c r="A494" t="s">
        <v>1513</v>
      </c>
      <c r="B494" s="12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  <c r="I494">
        <v>1492</v>
      </c>
    </row>
    <row r="495" spans="1:9" x14ac:dyDescent="0.25">
      <c r="A495" t="s">
        <v>1516</v>
      </c>
      <c r="B495" s="13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  <c r="I495">
        <v>1493</v>
      </c>
    </row>
    <row r="496" spans="1:9" x14ac:dyDescent="0.25">
      <c r="A496" t="s">
        <v>1518</v>
      </c>
      <c r="B496" s="12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  <c r="I496">
        <v>1494</v>
      </c>
    </row>
    <row r="497" spans="1:9" x14ac:dyDescent="0.25">
      <c r="A497" t="s">
        <v>1521</v>
      </c>
      <c r="B497" s="13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  <c r="I497">
        <v>1495</v>
      </c>
    </row>
    <row r="498" spans="1:9" x14ac:dyDescent="0.25">
      <c r="A498" t="s">
        <v>1524</v>
      </c>
      <c r="B498" s="12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  <c r="I498">
        <v>1496</v>
      </c>
    </row>
    <row r="499" spans="1:9" x14ac:dyDescent="0.25">
      <c r="A499" t="s">
        <v>1527</v>
      </c>
      <c r="B499" s="13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  <c r="I499">
        <v>1497</v>
      </c>
    </row>
    <row r="500" spans="1:9" x14ac:dyDescent="0.25">
      <c r="A500" t="s">
        <v>1530</v>
      </c>
      <c r="B500" s="12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  <c r="I500">
        <v>1498</v>
      </c>
    </row>
    <row r="501" spans="1:9" x14ac:dyDescent="0.25">
      <c r="A501" t="s">
        <v>1533</v>
      </c>
      <c r="B501" s="14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  <c r="I501">
        <v>1499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Customer_Dim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panneerselvam</cp:lastModifiedBy>
  <dcterms:created xsi:type="dcterms:W3CDTF">2025-10-14T06:00:18Z</dcterms:created>
  <dcterms:modified xsi:type="dcterms:W3CDTF">2026-02-26T04:34:50Z</dcterms:modified>
</cp:coreProperties>
</file>